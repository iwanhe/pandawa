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20002518.SONIA\Desktop\"/>
    </mc:Choice>
  </mc:AlternateContent>
  <bookViews>
    <workbookView xWindow="0" yWindow="0" windowWidth="11220" windowHeight="5760"/>
  </bookViews>
  <sheets>
    <sheet name="Sheet1" sheetId="1" r:id="rId1"/>
  </sheets>
  <definedNames>
    <definedName name="_xlnm._FilterDatabase" localSheetId="0" hidden="1">Sheet1!$A$1:$MQ$11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P2" i="1" l="1"/>
  <c r="DP3" i="1"/>
  <c r="DP4" i="1"/>
  <c r="DP5" i="1"/>
  <c r="DP6" i="1"/>
  <c r="U19" i="1"/>
  <c r="U20" i="1"/>
  <c r="U21" i="1"/>
  <c r="U22" i="1"/>
  <c r="U23" i="1"/>
</calcChain>
</file>

<file path=xl/sharedStrings.xml><?xml version="1.0" encoding="utf-8"?>
<sst xmlns="http://schemas.openxmlformats.org/spreadsheetml/2006/main" count="709" uniqueCount="448">
  <si>
    <t>ORDER ENTRY</t>
  </si>
  <si>
    <t>OT - Retur Administratif</t>
  </si>
  <si>
    <t>NSTI ORDER ENTRY</t>
  </si>
  <si>
    <t>LINE</t>
  </si>
  <si>
    <t>R.WRINGIN 2014 (16) MB</t>
  </si>
  <si>
    <t>IDR</t>
  </si>
  <si>
    <t>User</t>
  </si>
  <si>
    <t>SHIPPING and HANDLING</t>
  </si>
  <si>
    <t>NSTI PMK131 VAT OUT 12%</t>
  </si>
  <si>
    <t>Kg</t>
  </si>
  <si>
    <t>S</t>
  </si>
  <si>
    <t>Y</t>
  </si>
  <si>
    <t>R.GARUT2015 (15) MI</t>
  </si>
  <si>
    <t>R. WERINGIN 2020 (15) M-AB</t>
  </si>
  <si>
    <t>A 2020 (13.3) BC-B</t>
  </si>
  <si>
    <t>K.C 2019 (16) B1FA-G</t>
  </si>
  <si>
    <t>K.TZN 2022 (13.5)TZVL2LT-B</t>
  </si>
  <si>
    <t>R.PAITON 2021 (15) MAB</t>
  </si>
  <si>
    <t>K.C 2019 (16) B1FA-F</t>
  </si>
  <si>
    <t>R.MADURA 2020 (15) A</t>
  </si>
  <si>
    <t>INTERFACE_LINE_ID</t>
  </si>
  <si>
    <t>INTERFACE_LINE_CONTEXT</t>
  </si>
  <si>
    <t>INTERFACE_LINE_ATTRIBUTE1</t>
  </si>
  <si>
    <t>INTERFACE_LINE_ATTRIBUTE2</t>
  </si>
  <si>
    <t>INTERFACE_LINE_ATTRIBUTE3</t>
  </si>
  <si>
    <t>INTERFACE_LINE_ATTRIBUTE4</t>
  </si>
  <si>
    <t>INTERFACE_LINE_ATTRIBUTE5</t>
  </si>
  <si>
    <t>INTERFACE_LINE_ATTRIBUTE6</t>
  </si>
  <si>
    <t>INTERFACE_LINE_ATTRIBUTE7</t>
  </si>
  <si>
    <t>INTERFACE_LINE_ATTRIBUTE8</t>
  </si>
  <si>
    <t>BATCH_SOURCE_NAME</t>
  </si>
  <si>
    <t>SET_OF_BOOKS_ID</t>
  </si>
  <si>
    <t>LINE_TYPE</t>
  </si>
  <si>
    <t>DESCRIPTION</t>
  </si>
  <si>
    <t>CURRENCY_CODE</t>
  </si>
  <si>
    <t>AMOUNT</t>
  </si>
  <si>
    <t>CUST_TRX_TYPE_NAME</t>
  </si>
  <si>
    <t>CUST_TRX_TYPE_ID</t>
  </si>
  <si>
    <t>TERM_NAME</t>
  </si>
  <si>
    <t>TERM_ID</t>
  </si>
  <si>
    <t>ORIG_SYSTEM_BATCH_NAME</t>
  </si>
  <si>
    <t>ORIG_SYSTEM_BILL_CUSTOMER_REF</t>
  </si>
  <si>
    <t>ORIG_SYSTEM_BILL_CUSTOMER_ID</t>
  </si>
  <si>
    <t>ORIG_SYSTEM_BILL_ADDRESS_REF</t>
  </si>
  <si>
    <t>ORIG_SYSTEM_BILL_ADDRESS_ID</t>
  </si>
  <si>
    <t>ORIG_SYSTEM_BILL_CONTACT_REF</t>
  </si>
  <si>
    <t>ORIG_SYSTEM_BILL_CONTACT_ID</t>
  </si>
  <si>
    <t>ORIG_SYSTEM_SHIP_CUSTOMER_REF</t>
  </si>
  <si>
    <t>ORIG_SYSTEM_SHIP_CUSTOMER_ID</t>
  </si>
  <si>
    <t>ORIG_SYSTEM_SHIP_ADDRESS_REF</t>
  </si>
  <si>
    <t>ORIG_SYSTEM_SHIP_ADDRESS_ID</t>
  </si>
  <si>
    <t>ORIG_SYSTEM_SHIP_CONTACT_REF</t>
  </si>
  <si>
    <t>ORIG_SYSTEM_SHIP_CONTACT_ID</t>
  </si>
  <si>
    <t>ORIG_SYSTEM_SOLD_CUSTOMER_REF</t>
  </si>
  <si>
    <t>ORIG_SYSTEM_SOLD_CUSTOMER_ID</t>
  </si>
  <si>
    <t>LINK_TO_LINE_ID</t>
  </si>
  <si>
    <t>LINK_TO_LINE_CONTEXT</t>
  </si>
  <si>
    <t>LINK_TO_LINE_ATTRIBUTE1</t>
  </si>
  <si>
    <t>LINK_TO_LINE_ATTRIBUTE2</t>
  </si>
  <si>
    <t>LINK_TO_LINE_ATTRIBUTE3</t>
  </si>
  <si>
    <t>LINK_TO_LINE_ATTRIBUTE4</t>
  </si>
  <si>
    <t>LINK_TO_LINE_ATTRIBUTE5</t>
  </si>
  <si>
    <t>LINK_TO_LINE_ATTRIBUTE6</t>
  </si>
  <si>
    <t>LINK_TO_LINE_ATTRIBUTE7</t>
  </si>
  <si>
    <t>RECEIPT_METHOD_NAME</t>
  </si>
  <si>
    <t>RECEIPT_METHOD_ID</t>
  </si>
  <si>
    <t>CONVERSION_TYPE</t>
  </si>
  <si>
    <t>CONVERSION_DATE</t>
  </si>
  <si>
    <t>CONVERSION_RATE</t>
  </si>
  <si>
    <t>CUSTOMER_TRX_ID</t>
  </si>
  <si>
    <t>TRX_DATE</t>
  </si>
  <si>
    <t>GL_DATE</t>
  </si>
  <si>
    <t>DOCUMENT_NUMBER</t>
  </si>
  <si>
    <t>TRX_NUMBER</t>
  </si>
  <si>
    <t>LINE_NUMBER</t>
  </si>
  <si>
    <t>QUANTITY</t>
  </si>
  <si>
    <t>QUANTITY_ORDERED</t>
  </si>
  <si>
    <t>UNIT_SELLING_PRICE</t>
  </si>
  <si>
    <t>UNIT_STANDARD_PRICE</t>
  </si>
  <si>
    <t>PRINTING_OPTION</t>
  </si>
  <si>
    <t>INTERFACE_STATUS</t>
  </si>
  <si>
    <t>REQUEST_ID</t>
  </si>
  <si>
    <t>RELATED_BATCH_SOURCE_NAME</t>
  </si>
  <si>
    <t>RELATED_TRX_NUMBER</t>
  </si>
  <si>
    <t>RELATED_CUSTOMER_TRX_ID</t>
  </si>
  <si>
    <t>PREVIOUS_CUSTOMER_TRX_ID</t>
  </si>
  <si>
    <t>CREDIT_METHOD_FOR_ACCT_RULE</t>
  </si>
  <si>
    <t>CREDIT_METHOD_FOR_INSTALLMENTS</t>
  </si>
  <si>
    <t>REASON_CODE</t>
  </si>
  <si>
    <t>TAX_RATE</t>
  </si>
  <si>
    <t>TAX_CODE</t>
  </si>
  <si>
    <t>TAX_PRECEDENCE</t>
  </si>
  <si>
    <t>EXCEPTION_ID</t>
  </si>
  <si>
    <t>EXEMPTION_ID</t>
  </si>
  <si>
    <t>SHIP_DATE_ACTUAL</t>
  </si>
  <si>
    <t>FOB_POINT</t>
  </si>
  <si>
    <t>SHIP_VIA</t>
  </si>
  <si>
    <t>WAYBILL_NUMBER</t>
  </si>
  <si>
    <t>INVOICING_RULE_NAME</t>
  </si>
  <si>
    <t>INVOICING_RULE_ID</t>
  </si>
  <si>
    <t>ACCOUNTING_RULE_NAME</t>
  </si>
  <si>
    <t>ACCOUNTING_RULE_ID</t>
  </si>
  <si>
    <t>ACCOUNTING_RULE_DURATION</t>
  </si>
  <si>
    <t>RULE_START_DATE</t>
  </si>
  <si>
    <t>PRIMARY_SALESREP_NUMBER</t>
  </si>
  <si>
    <t>PRIMARY_SALESREP_ID</t>
  </si>
  <si>
    <t>SALES_ORDER</t>
  </si>
  <si>
    <t>SALES_ORDER_LINE</t>
  </si>
  <si>
    <t>SALES_ORDER_DATE</t>
  </si>
  <si>
    <t>SALES_ORDER_SOURCE</t>
  </si>
  <si>
    <t>SALES_ORDER_REVISION</t>
  </si>
  <si>
    <t>PURCHASE_ORDER</t>
  </si>
  <si>
    <t>PURCHASE_ORDER_REVISION</t>
  </si>
  <si>
    <t>PURCHASE_ORDER_DATE</t>
  </si>
  <si>
    <t>AGREEMENT_NAME</t>
  </si>
  <si>
    <t>AGREEMENT_ID</t>
  </si>
  <si>
    <t>MEMO_LINE_NAME</t>
  </si>
  <si>
    <t>MEMO_LINE_ID</t>
  </si>
  <si>
    <t>INVENTORY_ITEM_ID</t>
  </si>
  <si>
    <t>MTL_SYSTEM_ITEMS_SEG1</t>
  </si>
  <si>
    <t>MTL_SYSTEM_ITEMS_SEG2</t>
  </si>
  <si>
    <t>MTL_SYSTEM_ITEMS_SEG3</t>
  </si>
  <si>
    <t>MTL_SYSTEM_ITEMS_SEG4</t>
  </si>
  <si>
    <t>MTL_SYSTEM_ITEMS_SEG5</t>
  </si>
  <si>
    <t>MTL_SYSTEM_ITEMS_SEG6</t>
  </si>
  <si>
    <t>MTL_SYSTEM_ITEMS_SEG7</t>
  </si>
  <si>
    <t>MTL_SYSTEM_ITEMS_SEG8</t>
  </si>
  <si>
    <t>MTL_SYSTEM_ITEMS_SEG9</t>
  </si>
  <si>
    <t>MTL_SYSTEM_ITEMS_SEG10</t>
  </si>
  <si>
    <t>MTL_SYSTEM_ITEMS_SEG11</t>
  </si>
  <si>
    <t>MTL_SYSTEM_ITEMS_SEG12</t>
  </si>
  <si>
    <t>MTL_SYSTEM_ITEMS_SEG13</t>
  </si>
  <si>
    <t>MTL_SYSTEM_ITEMS_SEG14</t>
  </si>
  <si>
    <t>MTL_SYSTEM_ITEMS_SEG15</t>
  </si>
  <si>
    <t>MTL_SYSTEM_ITEMS_SEG16</t>
  </si>
  <si>
    <t>MTL_SYSTEM_ITEMS_SEG17</t>
  </si>
  <si>
    <t>MTL_SYSTEM_ITEMS_SEG18</t>
  </si>
  <si>
    <t>MTL_SYSTEM_ITEMS_SEG19</t>
  </si>
  <si>
    <t>MTL_SYSTEM_ITEMS_SEG20</t>
  </si>
  <si>
    <t>REFERENCE_LINE_ID</t>
  </si>
  <si>
    <t>REFERENCE_LINE_CONTEXT</t>
  </si>
  <si>
    <t>REFERENCE_LINE_ATTRIBUTE1</t>
  </si>
  <si>
    <t>REFERENCE_LINE_ATTRIBUTE2</t>
  </si>
  <si>
    <t>REFERENCE_LINE_ATTRIBUTE3</t>
  </si>
  <si>
    <t>REFERENCE_LINE_ATTRIBUTE4</t>
  </si>
  <si>
    <t>REFERENCE_LINE_ATTRIBUTE5</t>
  </si>
  <si>
    <t>REFERENCE_LINE_ATTRIBUTE6</t>
  </si>
  <si>
    <t>REFERENCE_LINE_ATTRIBUTE7</t>
  </si>
  <si>
    <t>TERRITORY_ID</t>
  </si>
  <si>
    <t>TERRITORY_SEGMENT1</t>
  </si>
  <si>
    <t>TERRITORY_SEGMENT2</t>
  </si>
  <si>
    <t>TERRITORY_SEGMENT3</t>
  </si>
  <si>
    <t>TERRITORY_SEGMENT4</t>
  </si>
  <si>
    <t>TERRITORY_SEGMENT5</t>
  </si>
  <si>
    <t>TERRITORY_SEGMENT6</t>
  </si>
  <si>
    <t>TERRITORY_SEGMENT7</t>
  </si>
  <si>
    <t>TERRITORY_SEGMENT8</t>
  </si>
  <si>
    <t>TERRITORY_SEGMENT9</t>
  </si>
  <si>
    <t>TERRITORY_SEGMENT10</t>
  </si>
  <si>
    <t>TERRITORY_SEGMENT11</t>
  </si>
  <si>
    <t>TERRITORY_SEGMENT12</t>
  </si>
  <si>
    <t>TERRITORY_SEGMENT13</t>
  </si>
  <si>
    <t>TERRITORY_SEGMENT14</t>
  </si>
  <si>
    <t>TERRITORY_SEGMENT15</t>
  </si>
  <si>
    <t>TERRITORY_SEGMENT16</t>
  </si>
  <si>
    <t>TERRITORY_SEGMENT17</t>
  </si>
  <si>
    <t>TERRITORY_SEGMENT18</t>
  </si>
  <si>
    <t>TERRITORY_SEGMENT19</t>
  </si>
  <si>
    <t>TERRITORY_SEGMENT20</t>
  </si>
  <si>
    <t>ATTRIBUTE_CATEGORY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</si>
  <si>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</si>
  <si>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</si>
  <si>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</si>
  <si>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</si>
  <si>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</si>
  <si>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</si>
  <si>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</si>
  <si>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</si>
  <si>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</si>
  <si>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</si>
  <si>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</si>
  <si>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</si>
  <si>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</si>
  <si>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</si>
  <si>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</si>
  <si>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HEADER_ATTRIBUTE_CATEGORY</t>
  </si>
  <si>
    <t>HEADER_ATTRIBUTE1</t>
  </si>
  <si>
    <t>HEADER_ATTRIBUTE2</t>
  </si>
  <si>
    <t>HEADER_ATTRIBUTE3</t>
  </si>
  <si>
    <t>HEADER_ATTRIBUTE4</t>
  </si>
  <si>
    <t>HEADER_ATTRIBUTE5</t>
  </si>
  <si>
    <t>HEADER_ATTRIBUTE6</t>
  </si>
  <si>
    <t>HEADER_ATTRIBUTE7</t>
  </si>
  <si>
    <t>HEADER_ATTRIBUTE8</t>
  </si>
  <si>
    <t>HEADER_ATTRIBUTE9</t>
  </si>
  <si>
    <t>HEADER_ATTRIBUTE10</t>
  </si>
  <si>
    <t>HEADER_ATTRIBUTE11</t>
  </si>
  <si>
    <t>HEADER_ATTRIBUTE12</t>
  </si>
  <si>
    <t>HEADER_ATTRIBUTE13</t>
  </si>
  <si>
    <t>HEADER_ATTRIBUTE14</t>
  </si>
  <si>
    <t>HEADER_ATTRIBUTE15</t>
  </si>
  <si>
    <t>COMMENTS</t>
  </si>
  <si>
    <t>INTERNAL_NOTES</t>
  </si>
  <si>
    <t>INITIAL_CUSTOMER_TRX_ID</t>
  </si>
  <si>
    <t>USSGL_TRANSACTION_CODE_CONTEXT</t>
  </si>
  <si>
    <t>USSGL_TRANSACTION_CODE</t>
  </si>
  <si>
    <t>ACCTD_AMOUNT</t>
  </si>
  <si>
    <t>CUSTOMER_BANK_ACCOUNT_ID</t>
  </si>
  <si>
    <t>CUSTOMER_BANK_ACCOUNT_NAME</t>
  </si>
  <si>
    <t>UOM_CODE</t>
  </si>
  <si>
    <t>UOM_NAME</t>
  </si>
  <si>
    <t>DOCUMENT_NUMBER_SEQUENCE_ID</t>
  </si>
  <si>
    <t>LINK_TO_LINE_ATTRIBUTE10</t>
  </si>
  <si>
    <t>LINK_TO_LINE_ATTRIBUTE11</t>
  </si>
  <si>
    <t>LINK_TO_LINE_ATTRIBUTE12</t>
  </si>
  <si>
    <t>LINK_TO_LINE_ATTRIBUTE13</t>
  </si>
  <si>
    <t>LINK_TO_LINE_ATTRIBUTE14</t>
  </si>
  <si>
    <t>LINK_TO_LINE_ATTRIBUTE15</t>
  </si>
  <si>
    <t>LINK_TO_LINE_ATTRIBUTE8</t>
  </si>
  <si>
    <t>LINK_TO_LINE_ATTRIBUTE9</t>
  </si>
  <si>
    <t>REFERENCE_LINE_ATTRIBUTE10</t>
  </si>
  <si>
    <t>REFERENCE_LINE_ATTRIBUTE11</t>
  </si>
  <si>
    <t>REFERENCE_LINE_ATTRIBUTE12</t>
  </si>
  <si>
    <t>REFERENCE_LINE_ATTRIBUTE13</t>
  </si>
  <si>
    <t>REFERENCE_LINE_ATTRIBUTE14</t>
  </si>
  <si>
    <t>REFERENCE_LINE_ATTRIBUTE15</t>
  </si>
  <si>
    <t>REFERENCE_LINE_ATTRIBUTE8</t>
  </si>
  <si>
    <t>REFERENCE_LINE_ATTRIBUTE9</t>
  </si>
  <si>
    <t>INTERFACE_LINE_ATTRIBUTE10</t>
  </si>
  <si>
    <t>INTERFACE_LINE_ATTRIBUTE11</t>
  </si>
  <si>
    <t>INTERFACE_LINE_ATTRIBUTE12</t>
  </si>
  <si>
    <t>INTERFACE_LINE_ATTRIBUTE13</t>
  </si>
  <si>
    <t>INTERFACE_LINE_ATTRIBUTE14</t>
  </si>
  <si>
    <t>INTERFACE_LINE_ATTRIBUTE15</t>
  </si>
  <si>
    <t>INTERFACE_LINE_ATTRIBUTE9</t>
  </si>
  <si>
    <t>VAT_TAX_ID</t>
  </si>
  <si>
    <t>REASON_CODE_MEANING</t>
  </si>
  <si>
    <t>LAST_PERIOD_TO_CREDIT</t>
  </si>
  <si>
    <t>PAYING_CUSTOMER_ID</t>
  </si>
  <si>
    <t>PAYING_SITE_USE_ID</t>
  </si>
  <si>
    <t>TAX_EXEMPT_FLAG</t>
  </si>
  <si>
    <t>TAX_EXEMPT_REASON_CODE</t>
  </si>
  <si>
    <t>TAX_EXEMPT_REASON_CODE_MEANING</t>
  </si>
  <si>
    <t>TAX_EXEMPT_NUMBER</t>
  </si>
  <si>
    <t>SALES_TAX_ID</t>
  </si>
  <si>
    <t>CREATED_BY</t>
  </si>
  <si>
    <t>CREATION_DATE</t>
  </si>
  <si>
    <t>LAST_UPDATED_BY</t>
  </si>
  <si>
    <t>LAST_UPDATE_DATE</t>
  </si>
  <si>
    <t>LAST_UPDATE_LOGIN</t>
  </si>
  <si>
    <t>LOCATION_SEGMENT_ID</t>
  </si>
  <si>
    <t>MOVEMENT_ID</t>
  </si>
  <si>
    <t>ORG_ID</t>
  </si>
  <si>
    <t>AMOUNT_INCLUDES_TAX_FLAG</t>
  </si>
  <si>
    <t>HEADER_GDF_ATTR_CATEGORY</t>
  </si>
  <si>
    <t>HEADER_GDF_ATTRIBUTE1</t>
  </si>
  <si>
    <t>HEADER_GDF_ATTRIBUTE2</t>
  </si>
  <si>
    <t>HEADER_GDF_ATTRIBUTE3</t>
  </si>
  <si>
    <t>HEADER_GDF_ATTRIBUTE4</t>
  </si>
  <si>
    <t>HEADER_GDF_ATTRIBUTE5</t>
  </si>
  <si>
    <t>HEADER_GDF_ATTRIBUTE6</t>
  </si>
  <si>
    <t>HEADER_GDF_ATTRIBUTE7</t>
  </si>
  <si>
    <t>HEADER_GDF_ATTRIBUTE8</t>
  </si>
  <si>
    <t>HEADER_GDF_ATTRIBUTE9</t>
  </si>
  <si>
    <t>HEADER_GDF_ATTRIBUTE10</t>
  </si>
  <si>
    <t>HEADER_GDF_ATTRIBUTE11</t>
  </si>
  <si>
    <t>HEADER_GDF_ATTRIBUTE12</t>
  </si>
  <si>
    <t>HEADER_GDF_ATTRIBUTE13</t>
  </si>
  <si>
    <t>HEADER_GDF_ATTRIBUTE14</t>
  </si>
  <si>
    <t>HEADER_GDF_ATTRIBUTE15</t>
  </si>
  <si>
    <t>HEADER_GDF_ATTRIBUTE16</t>
  </si>
  <si>
    <t>HEADER_GDF_ATTRIBUTE17</t>
  </si>
  <si>
    <t>HEADER_GDF_ATTRIBUTE18</t>
  </si>
  <si>
    <t>HEADER_GDF_ATTRIBUTE19</t>
  </si>
  <si>
    <t>HEADER_GDF_ATTRIBUTE20</t>
  </si>
  <si>
    <t>HEADER_GDF_ATTRIBUTE21</t>
  </si>
  <si>
    <t>HEADER_GDF_ATTRIBUTE22</t>
  </si>
  <si>
    <t>HEADER_GDF_ATTRIBUTE23</t>
  </si>
  <si>
    <t>HEADER_GDF_ATTRIBUTE24</t>
  </si>
  <si>
    <t>HEADER_GDF_ATTRIBUTE25</t>
  </si>
  <si>
    <t>HEADER_GDF_ATTRIBUTE26</t>
  </si>
  <si>
    <t>HEADER_GDF_ATTRIBUTE27</t>
  </si>
  <si>
    <t>HEADER_GDF_ATTRIBUTE28</t>
  </si>
  <si>
    <t>HEADER_GDF_ATTRIBUTE29</t>
  </si>
  <si>
    <t>HEADER_GDF_ATTRIBUTE30</t>
  </si>
  <si>
    <t>LINE_GDF_ATTR_CATEGORY</t>
  </si>
  <si>
    <t>LINE_GDF_ATTRIBUTE1</t>
  </si>
  <si>
    <t>LINE_GDF_ATTRIBUTE2</t>
  </si>
  <si>
    <t>LINE_GDF_ATTRIBUTE3</t>
  </si>
  <si>
    <t>LINE_GDF_ATTRIBUTE4</t>
  </si>
  <si>
    <t>LINE_GDF_ATTRIBUTE5</t>
  </si>
  <si>
    <t>LINE_GDF_ATTRIBUTE6</t>
  </si>
  <si>
    <t>LINE_GDF_ATTRIBUTE7</t>
  </si>
  <si>
    <t>LINE_GDF_ATTRIBUTE8</t>
  </si>
  <si>
    <t>LINE_GDF_ATTRIBUTE9</t>
  </si>
  <si>
    <t>LINE_GDF_ATTRIBUTE10</t>
  </si>
  <si>
    <t>LINE_GDF_ATTRIBUTE11</t>
  </si>
  <si>
    <t>LINE_GDF_ATTRIBUTE12</t>
  </si>
  <si>
    <t>LINE_GDF_ATTRIBUTE13</t>
  </si>
  <si>
    <t>LINE_GDF_ATTRIBUTE14</t>
  </si>
  <si>
    <t>LINE_GDF_ATTRIBUTE15</t>
  </si>
  <si>
    <t>LINE_GDF_ATTRIBUTE16</t>
  </si>
  <si>
    <t>LINE_GDF_ATTRIBUTE17</t>
  </si>
  <si>
    <t>LINE_GDF_ATTRIBUTE18</t>
  </si>
  <si>
    <t>LINE_GDF_ATTRIBUTE19</t>
  </si>
  <si>
    <t>LINE_GDF_ATTRIBUTE20</t>
  </si>
  <si>
    <t>RESET_TRX_DATE_FLAG</t>
  </si>
  <si>
    <t>PAYMENT_SERVER_ORDER_NUM</t>
  </si>
  <si>
    <t>APPROVAL_CODE</t>
  </si>
  <si>
    <t>ADDRESS_VERIFICATION_CODE</t>
  </si>
  <si>
    <t>WAREHOUSE_ID</t>
  </si>
  <si>
    <t>TRANSLATED_DESCRIPTION</t>
  </si>
  <si>
    <t>CONS_BILLING_NUMBER</t>
  </si>
  <si>
    <t>PROMISED_COMMITMENT_AMOUNT</t>
  </si>
  <si>
    <t>PAYMENT_SET_ID</t>
  </si>
  <si>
    <t>ORIGINAL_GL_DATE</t>
  </si>
  <si>
    <t>CONTRACT_LINE_ID</t>
  </si>
  <si>
    <t>CONTRACT_ID</t>
  </si>
  <si>
    <t>SOURCE_DATA_KEY1</t>
  </si>
  <si>
    <t>SOURCE_DATA_KEY2</t>
  </si>
  <si>
    <t>SOURCE_DATA_KEY3</t>
  </si>
  <si>
    <t>SOURCE_DATA_KEY4</t>
  </si>
  <si>
    <t>SOURCE_DATA_KEY5</t>
  </si>
  <si>
    <t>INVOICED_LINE_ACCTG_LEVEL</t>
  </si>
  <si>
    <t>OVERRIDE_AUTO_ACCOUNTING_FLAG</t>
  </si>
  <si>
    <t>SOURCE_APPLICATION_ID</t>
  </si>
  <si>
    <t>SOURCE_EVENT_CLASS_CODE</t>
  </si>
  <si>
    <t>SOURCE_ENTITY_CODE</t>
  </si>
  <si>
    <t>SOURCE_TRX_ID</t>
  </si>
  <si>
    <t>SOURCE_TRX_LINE_ID</t>
  </si>
  <si>
    <t>SOURCE_TRX_LINE_TYPE</t>
  </si>
  <si>
    <t>SOURCE_TRX_DETAIL_TAX_LINE_ID</t>
  </si>
  <si>
    <t>HISTORICAL_FLAG</t>
  </si>
  <si>
    <t>TAX_REGIME_CODE</t>
  </si>
  <si>
    <t>TAX</t>
  </si>
  <si>
    <t>TAX_STATUS_CODE</t>
  </si>
  <si>
    <t>TAX_RATE_CODE</t>
  </si>
  <si>
    <t>TAX_JURISDICTION_CODE</t>
  </si>
  <si>
    <t>TAXABLE_AMOUNT</t>
  </si>
  <si>
    <t>TAXABLE_FLAG</t>
  </si>
  <si>
    <t>LEGAL_ENTITY_ID</t>
  </si>
  <si>
    <t>PARENT_LINE_ID</t>
  </si>
  <si>
    <t>DEFERRAL_EXCLUSION_FLAG</t>
  </si>
  <si>
    <t>PAYMENT_TRXN_EXTENSION_ID</t>
  </si>
  <si>
    <t>RULE_END_DATE</t>
  </si>
  <si>
    <t>PAYMENT_ATTRIBUTES</t>
  </si>
  <si>
    <t>APPLICATION_ID</t>
  </si>
  <si>
    <t>BILLING_DATE</t>
  </si>
  <si>
    <t>TRX_BUSINESS_CATEGORY</t>
  </si>
  <si>
    <t>PRODUCT_FISC_CLASSIFICATION</t>
  </si>
  <si>
    <t>PRODUCT_CATEGORY</t>
  </si>
  <si>
    <t>PRODUCT_TYPE</t>
  </si>
  <si>
    <t>LINE_INTENDED_USE</t>
  </si>
  <si>
    <t>ASSESSABLE_VALUE</t>
  </si>
  <si>
    <t>DOCUMENT_SUB_TYPE</t>
  </si>
  <si>
    <t>DEFAULT_TAXATION_COUNTRY</t>
  </si>
  <si>
    <t>USER_DEFINED_FISC_CLASS</t>
  </si>
  <si>
    <t>TAXED_UPSTREAM_FLAG</t>
  </si>
  <si>
    <t>TAX_INVOICE_DATE</t>
  </si>
  <si>
    <t>TAX_INVOICE_NUMBER</t>
  </si>
  <si>
    <t>PAYMENT_TYPE_CODE</t>
  </si>
  <si>
    <t>MANDATE_LAST_TRX_FLAG</t>
  </si>
  <si>
    <t>REV_REC_APPLICATION</t>
  </si>
  <si>
    <t>DOCUMENT_TYPE_ID</t>
  </si>
  <si>
    <t>DOCUMENT_CREATION_DATE</t>
  </si>
  <si>
    <t>DOC_LINE_ID_INT_1</t>
  </si>
  <si>
    <t>DOC_LINE_ID_INT_2</t>
  </si>
  <si>
    <t>DOC_LINE_ID_INT_3</t>
  </si>
  <si>
    <t>DOC_LINE_ID_INT_4</t>
  </si>
  <si>
    <t>DOC_LINE_ID_INT_5</t>
  </si>
  <si>
    <t>DOC_LINE_ID_CHAR_1</t>
  </si>
  <si>
    <t>DOC_LINE_ID_CHAR_2</t>
  </si>
  <si>
    <t>DOC_LINE_ID_CHAR_3</t>
  </si>
  <si>
    <t>DOC_LINE_ID_CHAR_4</t>
  </si>
  <si>
    <t>DOC_LINE_ID_CHAR_5</t>
  </si>
  <si>
    <t>CUSTOMER_TRX_LINE_ID</t>
  </si>
  <si>
    <t>PREVIOUS_CUSTOMER_TRX_LINE_ID</t>
  </si>
  <si>
    <t>QUANTITY_CREDITED</t>
  </si>
  <si>
    <t>QUANTITY_INVOICED</t>
  </si>
  <si>
    <t>PROGRAM_APPLICATION_ID</t>
  </si>
  <si>
    <t>PROGRAM_ID</t>
  </si>
  <si>
    <t>PROGRAM_UPDATE_DATE</t>
  </si>
  <si>
    <t>INITIAL_CUSTOMER_TRX_LINE_ID</t>
  </si>
  <si>
    <t>EXTENDED_AMOUNT</t>
  </si>
  <si>
    <t>REVENUE_AMOUNT</t>
  </si>
  <si>
    <t>AUTORULE_COMPLETE_FLAG</t>
  </si>
  <si>
    <t>LINK_TO_CUST_TRX_LINE_ID</t>
  </si>
  <si>
    <t>ITEM_EXCEPTION_RATE_ID</t>
  </si>
  <si>
    <t>TAX_EXEMPTION_ID</t>
  </si>
  <si>
    <t>AUTORULE_DURATION_PROCESSED</t>
  </si>
  <si>
    <t>DEFAULT_USSGL_TRANSACTION_CODE</t>
  </si>
  <si>
    <t>DEFAULT_USSGL_TRX_CODE_CONTEXT</t>
  </si>
  <si>
    <t>AUTOTAX</t>
  </si>
  <si>
    <t>ITEM_CONTEXT</t>
  </si>
  <si>
    <t>TAX_VENDOR_RETURN_CODE</t>
  </si>
  <si>
    <t>WH_UPDATE_DATE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</si>
  <si>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</si>
  <si>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</si>
  <si>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</si>
  <si>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</si>
  <si>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</si>
  <si>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</si>
  <si>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</si>
  <si>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</si>
  <si>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</si>
  <si>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</si>
  <si>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</si>
  <si>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</si>
  <si>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</si>
  <si>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</si>
  <si>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</si>
  <si>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</si>
  <si>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</si>
  <si>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</si>
  <si>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</si>
  <si>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</si>
  <si>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GLOBAL_ATTRIBUTE_CATEGORY</t>
  </si>
  <si>
    <t>GROSS_UNIT_SELLING_PRICE</t>
  </si>
  <si>
    <t>GROSS_EXTENDED_AMOUNT</t>
  </si>
  <si>
    <t>EXTENDED_ACCTD_AMOUNT</t>
  </si>
  <si>
    <t>BR_REF_CUSTOMER_TRX_ID</t>
  </si>
  <si>
    <t>BR_REF_PAYMENT_SCHEDULE_ID</t>
  </si>
  <si>
    <t>BR_ADJUSTMENT_ID</t>
  </si>
  <si>
    <t>MRC_EXTENDED_ACCTD_AMOUNT</t>
  </si>
  <si>
    <t>SHIP_TO_CUSTOMER_ID</t>
  </si>
  <si>
    <t>SHIP_TO_ADDRESS_ID</t>
  </si>
  <si>
    <t>SHIP_TO_SITE_USE_ID</t>
  </si>
  <si>
    <t>SHIP_TO_CONTACT_ID</t>
  </si>
  <si>
    <t>TAX_LINE_ID</t>
  </si>
  <si>
    <t>LINE_RECOVERABLE</t>
  </si>
  <si>
    <t>TAX_RECOVERABLE</t>
  </si>
  <si>
    <t>TAX_CLASSIFICATION_CODE</t>
  </si>
  <si>
    <t>AMOUNT_DUE_REMAINING</t>
  </si>
  <si>
    <t>ACCTD_AMOUNT_DUE_REMAINING</t>
  </si>
  <si>
    <t>AMOUNT_DUE_ORIGINAL</t>
  </si>
  <si>
    <t>ACCTD_AMOUNT_DUE_ORIGINAL</t>
  </si>
  <si>
    <t>CHRG_AMOUNT_REMAINING</t>
  </si>
  <si>
    <t>CHRG_ACCTD_AMOUNT_REMAINING</t>
  </si>
  <si>
    <t>FRT_ADJ_REMAINING</t>
  </si>
  <si>
    <t>FRT_ADJ_ACCTD_REMAINING</t>
  </si>
  <si>
    <t>FRT_ED_AMOUNT</t>
  </si>
  <si>
    <t>FRT_ED_ACCTD_AMOUNT</t>
  </si>
  <si>
    <t>FRT_UNED_AMOUNT</t>
  </si>
  <si>
    <t>FRT_UNED_ACCTD_AMOUNT</t>
  </si>
  <si>
    <t>INTEREST_LINE_ID</t>
  </si>
  <si>
    <t>TAX_CALC_ACCTD_AMT</t>
  </si>
  <si>
    <t>OT - Non Rokok Lokal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</si>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</sst>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2" fillId="0" borderId="0" xfId="0" applyFont="1"/>
    <xf numFmtId="14" fontId="2" fillId="0" borderId="0" xfId="0" applyNumberFormat="1" applyFont="1"/>
    <xf numFmtId="22" fontId="2" fillId="0" borderId="0" xfId="0" applyNumberFormat="1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Q28"/>
  <sheetViews>
    <sheetView tabSelected="1" topLeftCell="I1" workbookViewId="0">
      <pane xSplit="6" ySplit="1" topLeftCell="DP2" activePane="bottomRight" state="frozen"/>
      <selection activeCell="I1" sqref="I1"/>
      <selection pane="topRight" activeCell="O1" sqref="O1"/>
      <selection pane="bottomLeft" activeCell="I2" sqref="I2"/>
      <selection pane="bottomRight" activeCell="Q10" sqref="Q10"/>
    </sheetView>
  </sheetViews>
  <sheetFormatPr defaultRowHeight="15" x14ac:dyDescent="0.25"/>
  <cols>
    <col min="1" max="1" width="20.85546875" bestFit="1" customWidth="1"/>
    <col min="2" max="2" width="27.28515625" bestFit="1" customWidth="1"/>
    <col min="3" max="10" width="29.85546875" bestFit="1" customWidth="1"/>
    <col min="11" max="11" width="24.28515625" bestFit="1" customWidth="1"/>
    <col min="12" max="12" width="20" bestFit="1" customWidth="1"/>
    <col min="13" max="13" width="12.42578125" bestFit="1" customWidth="1"/>
    <col min="14" max="14" width="26.5703125" bestFit="1" customWidth="1"/>
    <col min="15" max="15" width="18.85546875" bestFit="1" customWidth="1"/>
    <col min="16" max="16" width="11.7109375" bestFit="1" customWidth="1"/>
    <col min="17" max="17" width="24.42578125" bestFit="1" customWidth="1"/>
    <col min="18" max="18" width="20.5703125" bestFit="1" customWidth="1"/>
    <col min="19" max="19" width="14.85546875" bestFit="1" customWidth="1"/>
    <col min="20" max="20" width="11.140625" bestFit="1" customWidth="1"/>
    <col min="21" max="21" width="29.85546875" bestFit="1" customWidth="1"/>
    <col min="22" max="22" width="36.28515625" bestFit="1" customWidth="1"/>
    <col min="23" max="23" width="34.85546875" bestFit="1" customWidth="1"/>
    <col min="24" max="24" width="34.140625" bestFit="1" customWidth="1"/>
    <col min="25" max="25" width="32.85546875" bestFit="1" customWidth="1"/>
    <col min="26" max="26" width="34.5703125" bestFit="1" customWidth="1"/>
    <col min="27" max="27" width="33.28515625" bestFit="1" customWidth="1"/>
    <col min="28" max="28" width="36.85546875" bestFit="1" customWidth="1"/>
    <col min="29" max="29" width="35.42578125" bestFit="1" customWidth="1"/>
    <col min="30" max="30" width="34.7109375" bestFit="1" customWidth="1"/>
    <col min="31" max="31" width="33.42578125" bestFit="1" customWidth="1"/>
    <col min="32" max="32" width="35.140625" bestFit="1" customWidth="1"/>
    <col min="33" max="33" width="33.85546875" bestFit="1" customWidth="1"/>
    <col min="34" max="34" width="37.42578125" bestFit="1" customWidth="1"/>
    <col min="35" max="35" width="36.140625" bestFit="1" customWidth="1"/>
    <col min="36" max="36" width="18.5703125" bestFit="1" customWidth="1"/>
    <col min="37" max="37" width="25.140625" bestFit="1" customWidth="1"/>
    <col min="38" max="44" width="27.5703125" bestFit="1" customWidth="1"/>
    <col min="45" max="45" width="26.140625" bestFit="1" customWidth="1"/>
    <col min="46" max="46" width="22.28515625" bestFit="1" customWidth="1"/>
    <col min="47" max="47" width="20.7109375" bestFit="1" customWidth="1"/>
    <col min="48" max="48" width="21" bestFit="1" customWidth="1"/>
    <col min="49" max="49" width="20.85546875" bestFit="1" customWidth="1"/>
    <col min="50" max="50" width="20.7109375" bestFit="1" customWidth="1"/>
    <col min="51" max="51" width="12.140625" bestFit="1" customWidth="1"/>
    <col min="52" max="52" width="11.140625" bestFit="1" customWidth="1"/>
    <col min="53" max="53" width="23.140625" bestFit="1" customWidth="1"/>
    <col min="54" max="54" width="15.7109375" bestFit="1" customWidth="1"/>
    <col min="55" max="55" width="16.28515625" bestFit="1" customWidth="1"/>
    <col min="56" max="56" width="12.5703125" bestFit="1" customWidth="1"/>
    <col min="57" max="58" width="22.140625" bestFit="1" customWidth="1"/>
    <col min="59" max="59" width="24.85546875" bestFit="1" customWidth="1"/>
    <col min="60" max="60" width="20.28515625" bestFit="1" customWidth="1"/>
    <col min="61" max="61" width="20.85546875" bestFit="1" customWidth="1"/>
    <col min="62" max="62" width="14.140625" bestFit="1" customWidth="1"/>
    <col min="63" max="63" width="33.140625" bestFit="1" customWidth="1"/>
    <col min="64" max="64" width="24.5703125" bestFit="1" customWidth="1"/>
    <col min="65" max="65" width="29.5703125" bestFit="1" customWidth="1"/>
    <col min="66" max="66" width="31" bestFit="1" customWidth="1"/>
    <col min="67" max="67" width="34.5703125" bestFit="1" customWidth="1"/>
    <col min="68" max="68" width="38" bestFit="1" customWidth="1"/>
    <col min="69" max="69" width="23.42578125" bestFit="1" customWidth="1"/>
    <col min="70" max="70" width="12.140625" bestFit="1" customWidth="1"/>
    <col min="71" max="71" width="25" bestFit="1" customWidth="1"/>
    <col min="72" max="72" width="19.140625" bestFit="1" customWidth="1"/>
    <col min="73" max="73" width="16.140625" bestFit="1" customWidth="1"/>
    <col min="74" max="74" width="16.85546875" bestFit="1" customWidth="1"/>
    <col min="75" max="75" width="21.140625" bestFit="1" customWidth="1"/>
    <col min="76" max="76" width="13.42578125" bestFit="1" customWidth="1"/>
    <col min="77" max="77" width="11.42578125" bestFit="1" customWidth="1"/>
    <col min="78" max="78" width="20.42578125" bestFit="1" customWidth="1"/>
    <col min="79" max="79" width="25.5703125" bestFit="1" customWidth="1"/>
    <col min="80" max="80" width="21.7109375" bestFit="1" customWidth="1"/>
    <col min="81" max="81" width="28.140625" bestFit="1" customWidth="1"/>
    <col min="82" max="82" width="24.28515625" bestFit="1" customWidth="1"/>
    <col min="83" max="83" width="32.28515625" bestFit="1" customWidth="1"/>
    <col min="84" max="84" width="20" bestFit="1" customWidth="1"/>
    <col min="85" max="85" width="30.5703125" bestFit="1" customWidth="1"/>
    <col min="86" max="86" width="24.28515625" bestFit="1" customWidth="1"/>
    <col min="87" max="87" width="15.5703125" bestFit="1" customWidth="1"/>
    <col min="88" max="88" width="20.5703125" bestFit="1" customWidth="1"/>
    <col min="89" max="89" width="21.28515625" bestFit="1" customWidth="1"/>
    <col min="90" max="90" width="24" bestFit="1" customWidth="1"/>
    <col min="91" max="91" width="25.28515625" bestFit="1" customWidth="1"/>
    <col min="92" max="92" width="20" bestFit="1" customWidth="1"/>
    <col min="93" max="93" width="29.7109375" bestFit="1" customWidth="1"/>
    <col min="94" max="94" width="25.7109375" bestFit="1" customWidth="1"/>
    <col min="95" max="95" width="21.28515625" bestFit="1" customWidth="1"/>
    <col min="96" max="96" width="17.42578125" bestFit="1" customWidth="1"/>
    <col min="97" max="97" width="21.140625" bestFit="1" customWidth="1"/>
    <col min="98" max="98" width="17.28515625" bestFit="1" customWidth="1"/>
    <col min="99" max="99" width="22.28515625" bestFit="1" customWidth="1"/>
    <col min="100" max="108" width="27.28515625" bestFit="1" customWidth="1"/>
    <col min="109" max="119" width="28.42578125" bestFit="1" customWidth="1"/>
    <col min="120" max="120" width="21.140625" bestFit="1" customWidth="1"/>
    <col min="121" max="121" width="27.5703125" bestFit="1" customWidth="1"/>
    <col min="122" max="128" width="30.140625" bestFit="1" customWidth="1"/>
    <col min="129" max="129" width="15.85546875" bestFit="1" customWidth="1"/>
    <col min="130" max="138" width="24" bestFit="1" customWidth="1"/>
    <col min="139" max="149" width="25" bestFit="1" customWidth="1"/>
    <col min="150" max="150" width="23.85546875" bestFit="1" customWidth="1"/>
    <col min="151" max="159" width="13.85546875" bestFit="1" customWidth="1"/>
    <col min="160" max="165" width="14.85546875" bestFit="1" customWidth="1"/>
    <col min="166" max="166" width="32.140625" bestFit="1" customWidth="1"/>
    <col min="167" max="175" width="22.140625" bestFit="1" customWidth="1"/>
    <col min="176" max="181" width="23.140625" bestFit="1" customWidth="1"/>
    <col min="182" max="182" width="14" bestFit="1" customWidth="1"/>
    <col min="183" max="183" width="19" bestFit="1" customWidth="1"/>
    <col min="184" max="184" width="28.28515625" bestFit="1" customWidth="1"/>
    <col min="185" max="185" width="38.5703125" bestFit="1" customWidth="1"/>
    <col min="186" max="186" width="29.140625" bestFit="1" customWidth="1"/>
    <col min="187" max="187" width="18.7109375" bestFit="1" customWidth="1"/>
    <col min="188" max="188" width="32.7109375" bestFit="1" customWidth="1"/>
    <col min="189" max="189" width="36.5703125" bestFit="1" customWidth="1"/>
    <col min="190" max="190" width="13.85546875" bestFit="1" customWidth="1"/>
    <col min="191" max="191" width="14.5703125" bestFit="1" customWidth="1"/>
    <col min="192" max="192" width="37" bestFit="1" customWidth="1"/>
    <col min="193" max="198" width="28.7109375" bestFit="1" customWidth="1"/>
    <col min="199" max="200" width="27.5703125" bestFit="1" customWidth="1"/>
    <col min="201" max="206" width="31.140625" bestFit="1" customWidth="1"/>
    <col min="207" max="208" width="30.140625" bestFit="1" customWidth="1"/>
    <col min="209" max="214" width="30.85546875" bestFit="1" customWidth="1"/>
    <col min="215" max="215" width="29.85546875" bestFit="1" customWidth="1"/>
    <col min="216" max="216" width="14.140625" bestFit="1" customWidth="1"/>
    <col min="217" max="217" width="26.85546875" bestFit="1" customWidth="1"/>
    <col min="218" max="218" width="26" bestFit="1" customWidth="1"/>
    <col min="219" max="219" width="24.5703125" bestFit="1" customWidth="1"/>
    <col min="220" max="220" width="22.42578125" bestFit="1" customWidth="1"/>
    <col min="221" max="221" width="20.7109375" bestFit="1" customWidth="1"/>
    <col min="222" max="222" width="29.5703125" bestFit="1" customWidth="1"/>
    <col min="223" max="223" width="39.85546875" bestFit="1" customWidth="1"/>
    <col min="224" max="224" width="24.28515625" bestFit="1" customWidth="1"/>
    <col min="225" max="225" width="15.85546875" bestFit="1" customWidth="1"/>
    <col min="226" max="226" width="14.42578125" bestFit="1" customWidth="1"/>
    <col min="227" max="227" width="18" bestFit="1" customWidth="1"/>
    <col min="228" max="228" width="20.42578125" bestFit="1" customWidth="1"/>
    <col min="229" max="229" width="21.42578125" bestFit="1" customWidth="1"/>
    <col min="230" max="230" width="22.5703125" bestFit="1" customWidth="1"/>
    <col min="231" max="231" width="25.42578125" bestFit="1" customWidth="1"/>
    <col min="232" max="232" width="17.140625" bestFit="1" customWidth="1"/>
    <col min="233" max="233" width="10.140625" bestFit="1" customWidth="1"/>
    <col min="234" max="234" width="32.140625" bestFit="1" customWidth="1"/>
    <col min="235" max="235" width="31.5703125" bestFit="1" customWidth="1"/>
    <col min="236" max="244" width="27" bestFit="1" customWidth="1"/>
    <col min="245" max="265" width="28.140625" bestFit="1" customWidth="1"/>
    <col min="266" max="266" width="28.42578125" bestFit="1" customWidth="1"/>
    <col min="267" max="275" width="23.85546875" bestFit="1" customWidth="1"/>
    <col min="276" max="286" width="24.85546875" bestFit="1" customWidth="1"/>
    <col min="287" max="287" width="24.28515625" bestFit="1" customWidth="1"/>
    <col min="288" max="288" width="33.140625" bestFit="1" customWidth="1"/>
    <col min="289" max="289" width="18.85546875" bestFit="1" customWidth="1"/>
    <col min="290" max="290" width="31.140625" bestFit="1" customWidth="1"/>
    <col min="291" max="291" width="17.85546875" bestFit="1" customWidth="1"/>
    <col min="292" max="292" width="27.85546875" bestFit="1" customWidth="1"/>
    <col min="293" max="293" width="25.5703125" bestFit="1" customWidth="1"/>
    <col min="294" max="294" width="37.140625" bestFit="1" customWidth="1"/>
    <col min="295" max="295" width="19.140625" bestFit="1" customWidth="1"/>
    <col min="296" max="296" width="21.140625" bestFit="1" customWidth="1"/>
    <col min="297" max="297" width="20.85546875" bestFit="1" customWidth="1"/>
    <col min="298" max="298" width="15.85546875" bestFit="1" customWidth="1"/>
    <col min="299" max="303" width="21.85546875" bestFit="1" customWidth="1"/>
    <col min="304" max="304" width="30.42578125" bestFit="1" customWidth="1"/>
    <col min="305" max="305" width="38" bestFit="1" customWidth="1"/>
    <col min="306" max="306" width="26.5703125" bestFit="1" customWidth="1"/>
    <col min="307" max="307" width="29.85546875" bestFit="1" customWidth="1"/>
    <col min="308" max="308" width="23.85546875" bestFit="1" customWidth="1"/>
    <col min="309" max="309" width="17.7109375" bestFit="1" customWidth="1"/>
    <col min="310" max="310" width="22.7109375" bestFit="1" customWidth="1"/>
    <col min="311" max="311" width="25.28515625" bestFit="1" customWidth="1"/>
    <col min="312" max="312" width="34.5703125" bestFit="1" customWidth="1"/>
    <col min="313" max="313" width="19.28515625" bestFit="1" customWidth="1"/>
    <col min="314" max="314" width="20.85546875" bestFit="1" customWidth="1"/>
    <col min="315" max="315" width="6.7109375" bestFit="1" customWidth="1"/>
    <col min="316" max="316" width="20.5703125" bestFit="1" customWidth="1"/>
    <col min="317" max="317" width="18.140625" bestFit="1" customWidth="1"/>
    <col min="318" max="318" width="26.28515625" bestFit="1" customWidth="1"/>
    <col min="319" max="319" width="20.7109375" bestFit="1" customWidth="1"/>
    <col min="320" max="320" width="16.7109375" bestFit="1" customWidth="1"/>
    <col min="321" max="321" width="18.85546875" bestFit="1" customWidth="1"/>
    <col min="322" max="322" width="18.140625" bestFit="1" customWidth="1"/>
    <col min="323" max="323" width="29.140625" bestFit="1" customWidth="1"/>
    <col min="324" max="324" width="32.42578125" bestFit="1" customWidth="1"/>
    <col min="325" max="325" width="18.140625" bestFit="1" customWidth="1"/>
    <col min="326" max="326" width="24.140625" bestFit="1" customWidth="1"/>
    <col min="327" max="327" width="18.140625" bestFit="1" customWidth="1"/>
    <col min="328" max="328" width="15.85546875" bestFit="1" customWidth="1"/>
    <col min="329" max="329" width="27.140625" bestFit="1" customWidth="1"/>
    <col min="330" max="330" width="32.5703125" bestFit="1" customWidth="1"/>
    <col min="331" max="331" width="22.7109375" bestFit="1" customWidth="1"/>
    <col min="332" max="332" width="17.28515625" bestFit="1" customWidth="1"/>
    <col min="333" max="333" width="21.85546875" bestFit="1" customWidth="1"/>
    <col min="334" max="334" width="21" bestFit="1" customWidth="1"/>
    <col min="335" max="335" width="24.140625" bestFit="1" customWidth="1"/>
    <col min="336" max="336" width="31.5703125" bestFit="1" customWidth="1"/>
    <col min="337" max="337" width="28" bestFit="1" customWidth="1"/>
    <col min="338" max="338" width="25.85546875" bestFit="1" customWidth="1"/>
    <col min="339" max="339" width="21" bestFit="1" customWidth="1"/>
    <col min="340" max="340" width="24.5703125" bestFit="1" customWidth="1"/>
    <col min="341" max="341" width="23.7109375" bestFit="1" customWidth="1"/>
    <col min="342" max="342" width="28" bestFit="1" customWidth="1"/>
    <col min="343" max="343" width="24.28515625" bestFit="1" customWidth="1"/>
    <col min="344" max="344" width="22.28515625" bestFit="1" customWidth="1"/>
    <col min="345" max="345" width="30" bestFit="1" customWidth="1"/>
    <col min="346" max="350" width="21.140625" bestFit="1" customWidth="1"/>
    <col min="351" max="355" width="23" bestFit="1" customWidth="1"/>
  </cols>
  <sheetData>
    <row r="1" spans="1:355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39</v>
      </c>
      <c r="U1" s="3" t="s">
        <v>40</v>
      </c>
      <c r="V1" s="3" t="s">
        <v>41</v>
      </c>
      <c r="W1" s="3" t="s">
        <v>42</v>
      </c>
      <c r="X1" s="3" t="s">
        <v>43</v>
      </c>
      <c r="Y1" s="3" t="s">
        <v>44</v>
      </c>
      <c r="Z1" s="3" t="s">
        <v>45</v>
      </c>
      <c r="AA1" s="3" t="s">
        <v>46</v>
      </c>
      <c r="AB1" s="3" t="s">
        <v>47</v>
      </c>
      <c r="AC1" s="3" t="s">
        <v>48</v>
      </c>
      <c r="AD1" s="3" t="s">
        <v>49</v>
      </c>
      <c r="AE1" s="3" t="s">
        <v>50</v>
      </c>
      <c r="AF1" s="3" t="s">
        <v>51</v>
      </c>
      <c r="AG1" s="3" t="s">
        <v>52</v>
      </c>
      <c r="AH1" s="3" t="s">
        <v>53</v>
      </c>
      <c r="AI1" s="3" t="s">
        <v>54</v>
      </c>
      <c r="AJ1" s="3" t="s">
        <v>55</v>
      </c>
      <c r="AK1" s="3" t="s">
        <v>56</v>
      </c>
      <c r="AL1" s="3" t="s">
        <v>57</v>
      </c>
      <c r="AM1" s="3" t="s">
        <v>58</v>
      </c>
      <c r="AN1" s="3" t="s">
        <v>59</v>
      </c>
      <c r="AO1" s="3" t="s">
        <v>60</v>
      </c>
      <c r="AP1" s="3" t="s">
        <v>61</v>
      </c>
      <c r="AQ1" s="3" t="s">
        <v>62</v>
      </c>
      <c r="AR1" s="3" t="s">
        <v>63</v>
      </c>
      <c r="AS1" s="3" t="s">
        <v>64</v>
      </c>
      <c r="AT1" s="3" t="s">
        <v>65</v>
      </c>
      <c r="AU1" s="3" t="s">
        <v>66</v>
      </c>
      <c r="AV1" s="3" t="s">
        <v>67</v>
      </c>
      <c r="AW1" s="3" t="s">
        <v>68</v>
      </c>
      <c r="AX1" s="3" t="s">
        <v>69</v>
      </c>
      <c r="AY1" s="3" t="s">
        <v>70</v>
      </c>
      <c r="AZ1" s="3" t="s">
        <v>71</v>
      </c>
      <c r="BA1" s="3" t="s">
        <v>72</v>
      </c>
      <c r="BB1" s="3" t="s">
        <v>73</v>
      </c>
      <c r="BC1" s="3" t="s">
        <v>74</v>
      </c>
      <c r="BD1" s="3" t="s">
        <v>75</v>
      </c>
      <c r="BE1" s="3" t="s">
        <v>76</v>
      </c>
      <c r="BF1" s="3" t="s">
        <v>77</v>
      </c>
      <c r="BG1" s="3" t="s">
        <v>78</v>
      </c>
      <c r="BH1" s="3" t="s">
        <v>79</v>
      </c>
      <c r="BI1" s="3" t="s">
        <v>80</v>
      </c>
      <c r="BJ1" s="3" t="s">
        <v>81</v>
      </c>
      <c r="BK1" s="3" t="s">
        <v>82</v>
      </c>
      <c r="BL1" s="3" t="s">
        <v>83</v>
      </c>
      <c r="BM1" s="3" t="s">
        <v>84</v>
      </c>
      <c r="BN1" s="3" t="s">
        <v>85</v>
      </c>
      <c r="BO1" s="3" t="s">
        <v>86</v>
      </c>
      <c r="BP1" s="3" t="s">
        <v>87</v>
      </c>
      <c r="BQ1" s="3" t="s">
        <v>88</v>
      </c>
      <c r="BR1" s="3" t="s">
        <v>89</v>
      </c>
      <c r="BS1" s="3" t="s">
        <v>90</v>
      </c>
      <c r="BT1" s="3" t="s">
        <v>91</v>
      </c>
      <c r="BU1" s="3" t="s">
        <v>92</v>
      </c>
      <c r="BV1" s="3" t="s">
        <v>93</v>
      </c>
      <c r="BW1" s="4" t="s">
        <v>94</v>
      </c>
      <c r="BX1" s="3" t="s">
        <v>95</v>
      </c>
      <c r="BY1" s="3" t="s">
        <v>96</v>
      </c>
      <c r="BZ1" s="3" t="s">
        <v>97</v>
      </c>
      <c r="CA1" s="3" t="s">
        <v>98</v>
      </c>
      <c r="CB1" s="3" t="s">
        <v>99</v>
      </c>
      <c r="CC1" s="3" t="s">
        <v>100</v>
      </c>
      <c r="CD1" s="3" t="s">
        <v>101</v>
      </c>
      <c r="CE1" s="3" t="s">
        <v>102</v>
      </c>
      <c r="CF1" s="3" t="s">
        <v>103</v>
      </c>
      <c r="CG1" s="3" t="s">
        <v>104</v>
      </c>
      <c r="CH1" s="3" t="s">
        <v>105</v>
      </c>
      <c r="CI1" s="3" t="s">
        <v>106</v>
      </c>
      <c r="CJ1" s="3" t="s">
        <v>107</v>
      </c>
      <c r="CK1" s="4" t="s">
        <v>108</v>
      </c>
      <c r="CL1" s="3" t="s">
        <v>109</v>
      </c>
      <c r="CM1" s="3" t="s">
        <v>110</v>
      </c>
      <c r="CN1" s="3" t="s">
        <v>111</v>
      </c>
      <c r="CO1" s="3" t="s">
        <v>112</v>
      </c>
      <c r="CP1" s="3" t="s">
        <v>113</v>
      </c>
      <c r="CQ1" s="3" t="s">
        <v>114</v>
      </c>
      <c r="CR1" s="3" t="s">
        <v>115</v>
      </c>
      <c r="CS1" s="3" t="s">
        <v>116</v>
      </c>
      <c r="CT1" s="3" t="s">
        <v>117</v>
      </c>
      <c r="CU1" s="3" t="s">
        <v>118</v>
      </c>
      <c r="CV1" s="3" t="s">
        <v>119</v>
      </c>
      <c r="CW1" s="3" t="s">
        <v>120</v>
      </c>
      <c r="CX1" s="3" t="s">
        <v>121</v>
      </c>
      <c r="CY1" s="3" t="s">
        <v>122</v>
      </c>
      <c r="CZ1" s="3" t="s">
        <v>123</v>
      </c>
      <c r="DA1" s="3" t="s">
        <v>124</v>
      </c>
      <c r="DB1" s="3" t="s">
        <v>125</v>
      </c>
      <c r="DC1" s="3" t="s">
        <v>126</v>
      </c>
      <c r="DD1" s="3" t="s">
        <v>127</v>
      </c>
      <c r="DE1" s="3" t="s">
        <v>128</v>
      </c>
      <c r="DF1" s="3" t="s">
        <v>129</v>
      </c>
      <c r="DG1" s="3" t="s">
        <v>130</v>
      </c>
      <c r="DH1" s="3" t="s">
        <v>131</v>
      </c>
      <c r="DI1" s="3" t="s">
        <v>132</v>
      </c>
      <c r="DJ1" s="3" t="s">
        <v>133</v>
      </c>
      <c r="DK1" s="3" t="s">
        <v>134</v>
      </c>
      <c r="DL1" s="3" t="s">
        <v>135</v>
      </c>
      <c r="DM1" s="3" t="s">
        <v>136</v>
      </c>
      <c r="DN1" s="3" t="s">
        <v>137</v>
      </c>
      <c r="DO1" s="3" t="s">
        <v>138</v>
      </c>
      <c r="DP1" s="3" t="s">
        <v>139</v>
      </c>
      <c r="DQ1" s="3" t="s">
        <v>140</v>
      </c>
      <c r="DR1" s="3" t="s">
        <v>141</v>
      </c>
      <c r="DS1" s="3" t="s">
        <v>142</v>
      </c>
      <c r="DT1" s="3" t="s">
        <v>143</v>
      </c>
      <c r="DU1" s="3" t="s">
        <v>144</v>
      </c>
      <c r="DV1" s="3" t="s">
        <v>145</v>
      </c>
      <c r="DW1" s="3" t="s">
        <v>146</v>
      </c>
      <c r="DX1" s="3" t="s">
        <v>147</v>
      </c>
      <c r="DY1" s="3" t="s">
        <v>148</v>
      </c>
      <c r="DZ1" s="3" t="s">
        <v>149</v>
      </c>
      <c r="EA1" s="3" t="s">
        <v>150</v>
      </c>
      <c r="EB1" s="3" t="s">
        <v>151</v>
      </c>
      <c r="EC1" s="3" t="s">
        <v>152</v>
      </c>
      <c r="ED1" s="3" t="s">
        <v>153</v>
      </c>
      <c r="EE1" s="3" t="s">
        <v>154</v>
      </c>
      <c r="EF1" s="3" t="s">
        <v>155</v>
      </c>
      <c r="EG1" s="3" t="s">
        <v>156</v>
      </c>
      <c r="EH1" s="3" t="s">
        <v>157</v>
      </c>
      <c r="EI1" s="3" t="s">
        <v>158</v>
      </c>
      <c r="EJ1" s="3" t="s">
        <v>159</v>
      </c>
      <c r="EK1" s="3" t="s">
        <v>160</v>
      </c>
      <c r="EL1" s="3" t="s">
        <v>161</v>
      </c>
      <c r="EM1" s="3" t="s">
        <v>162</v>
      </c>
      <c r="EN1" s="3" t="s">
        <v>163</v>
      </c>
      <c r="EO1" s="3" t="s">
        <v>164</v>
      </c>
      <c r="EP1" s="3" t="s">
        <v>165</v>
      </c>
      <c r="EQ1" s="3" t="s">
        <v>166</v>
      </c>
      <c r="ER1" s="3" t="s">
        <v>167</v>
      </c>
      <c r="ES1" s="3" t="s">
        <v>168</v>
      </c>
      <c r="ET1" s="3" t="s">
        <v>169</v>
      </c>
      <c r="EU1" s="3" t="s">
        <v>170</v>
      </c>
      <c r="EV1" s="3" t="s">
        <v>171</v>
      </c>
      <c r="EW1" s="3" t="s">
        <v>172</v>
      </c>
      <c r="EX1" s="3" t="s">
        <v>173</v>
      </c>
      <c r="EY1" s="3" t="s">
        <v>174</v>
      </c>
      <c r="EZ1" s="3" t="s">
        <v>175</v>
      </c>
      <c r="FA1" s="3" t="s">
        <v>176</v>
      </c>
      <c r="FB1" s="3" t="s">
        <v>177</v>
      </c>
      <c r="FC1" s="3" t="s">
        <v>178</v>
      </c>
      <c r="FD1" s="3" t="s">
        <v>179</v>
      </c>
      <c r="FE1" s="3" t="s">
        <v>180</v>
      </c>
      <c r="FF1" s="3" t="s">
        <v>181</v>
      </c>
      <c r="FG1" s="3" t="s">
        <v>182</v>
      </c>
      <c r="FH1" s="3" t="s">
        <v>183</v>
      </c>
      <c r="FI1" s="3" t="s">
        <v>184</v>
      </c>
      <c r="FJ1" s="3" t="s">
        <v>185</v>
      </c>
      <c r="FK1" s="3" t="s">
        <v>186</v>
      </c>
      <c r="FL1" s="3" t="s">
        <v>187</v>
      </c>
      <c r="FM1" s="3" t="s">
        <v>188</v>
      </c>
      <c r="FN1" s="3" t="s">
        <v>189</v>
      </c>
      <c r="FO1" s="3" t="s">
        <v>190</v>
      </c>
      <c r="FP1" s="3" t="s">
        <v>191</v>
      </c>
      <c r="FQ1" s="3" t="s">
        <v>192</v>
      </c>
      <c r="FR1" s="3" t="s">
        <v>193</v>
      </c>
      <c r="FS1" s="3" t="s">
        <v>194</v>
      </c>
      <c r="FT1" s="3" t="s">
        <v>195</v>
      </c>
      <c r="FU1" s="3" t="s">
        <v>196</v>
      </c>
      <c r="FV1" s="3" t="s">
        <v>197</v>
      </c>
      <c r="FW1" s="3" t="s">
        <v>198</v>
      </c>
      <c r="FX1" s="3" t="s">
        <v>199</v>
      </c>
      <c r="FY1" s="3" t="s">
        <v>200</v>
      </c>
      <c r="FZ1" s="3" t="s">
        <v>201</v>
      </c>
      <c r="GA1" s="3" t="s">
        <v>202</v>
      </c>
      <c r="GB1" s="3" t="s">
        <v>203</v>
      </c>
      <c r="GC1" s="3" t="s">
        <v>204</v>
      </c>
      <c r="GD1" s="3" t="s">
        <v>205</v>
      </c>
      <c r="GE1" s="3" t="s">
        <v>206</v>
      </c>
      <c r="GF1" s="3" t="s">
        <v>207</v>
      </c>
      <c r="GG1" s="3" t="s">
        <v>208</v>
      </c>
      <c r="GH1" s="3" t="s">
        <v>209</v>
      </c>
      <c r="GI1" s="3" t="s">
        <v>210</v>
      </c>
      <c r="GJ1" s="3" t="s">
        <v>211</v>
      </c>
      <c r="GK1" s="3" t="s">
        <v>212</v>
      </c>
      <c r="GL1" s="3" t="s">
        <v>213</v>
      </c>
      <c r="GM1" s="3" t="s">
        <v>214</v>
      </c>
      <c r="GN1" s="3" t="s">
        <v>215</v>
      </c>
      <c r="GO1" s="3" t="s">
        <v>216</v>
      </c>
      <c r="GP1" s="3" t="s">
        <v>217</v>
      </c>
      <c r="GQ1" s="3" t="s">
        <v>218</v>
      </c>
      <c r="GR1" s="3" t="s">
        <v>219</v>
      </c>
      <c r="GS1" s="3" t="s">
        <v>220</v>
      </c>
      <c r="GT1" s="3" t="s">
        <v>221</v>
      </c>
      <c r="GU1" s="3" t="s">
        <v>222</v>
      </c>
      <c r="GV1" s="3" t="s">
        <v>223</v>
      </c>
      <c r="GW1" s="3" t="s">
        <v>224</v>
      </c>
      <c r="GX1" s="3" t="s">
        <v>225</v>
      </c>
      <c r="GY1" s="3" t="s">
        <v>226</v>
      </c>
      <c r="GZ1" s="3" t="s">
        <v>227</v>
      </c>
      <c r="HA1" s="3" t="s">
        <v>228</v>
      </c>
      <c r="HB1" s="3" t="s">
        <v>229</v>
      </c>
      <c r="HC1" s="3" t="s">
        <v>230</v>
      </c>
      <c r="HD1" s="3" t="s">
        <v>231</v>
      </c>
      <c r="HE1" s="3" t="s">
        <v>232</v>
      </c>
      <c r="HF1" s="3" t="s">
        <v>233</v>
      </c>
      <c r="HG1" s="3" t="s">
        <v>234</v>
      </c>
      <c r="HH1" s="3" t="s">
        <v>235</v>
      </c>
      <c r="HI1" s="3" t="s">
        <v>236</v>
      </c>
      <c r="HJ1" s="3" t="s">
        <v>237</v>
      </c>
      <c r="HK1" s="3" t="s">
        <v>238</v>
      </c>
      <c r="HL1" s="3" t="s">
        <v>239</v>
      </c>
      <c r="HM1" s="3" t="s">
        <v>240</v>
      </c>
      <c r="HN1" s="3" t="s">
        <v>241</v>
      </c>
      <c r="HO1" s="3" t="s">
        <v>242</v>
      </c>
      <c r="HP1" s="3" t="s">
        <v>243</v>
      </c>
      <c r="HQ1" s="3" t="s">
        <v>244</v>
      </c>
      <c r="HR1" s="3" t="s">
        <v>245</v>
      </c>
      <c r="HS1" s="5" t="s">
        <v>246</v>
      </c>
      <c r="HT1" s="3" t="s">
        <v>247</v>
      </c>
      <c r="HU1" s="5" t="s">
        <v>248</v>
      </c>
      <c r="HV1" s="3" t="s">
        <v>249</v>
      </c>
      <c r="HW1" s="3" t="s">
        <v>250</v>
      </c>
      <c r="HX1" s="3" t="s">
        <v>251</v>
      </c>
      <c r="HY1" s="3" t="s">
        <v>252</v>
      </c>
      <c r="HZ1" s="3" t="s">
        <v>253</v>
      </c>
      <c r="IA1" s="3" t="s">
        <v>254</v>
      </c>
      <c r="IB1" s="3" t="s">
        <v>255</v>
      </c>
      <c r="IC1" s="3" t="s">
        <v>256</v>
      </c>
      <c r="ID1" s="3" t="s">
        <v>257</v>
      </c>
      <c r="IE1" s="3" t="s">
        <v>258</v>
      </c>
      <c r="IF1" s="3" t="s">
        <v>259</v>
      </c>
      <c r="IG1" s="3" t="s">
        <v>260</v>
      </c>
      <c r="IH1" s="3" t="s">
        <v>261</v>
      </c>
      <c r="II1" s="3" t="s">
        <v>262</v>
      </c>
      <c r="IJ1" s="3" t="s">
        <v>263</v>
      </c>
      <c r="IK1" s="3" t="s">
        <v>264</v>
      </c>
      <c r="IL1" s="3" t="s">
        <v>265</v>
      </c>
      <c r="IM1" s="3" t="s">
        <v>266</v>
      </c>
      <c r="IN1" s="3" t="s">
        <v>267</v>
      </c>
      <c r="IO1" s="3" t="s">
        <v>268</v>
      </c>
      <c r="IP1" s="3" t="s">
        <v>269</v>
      </c>
      <c r="IQ1" s="3" t="s">
        <v>270</v>
      </c>
      <c r="IR1" s="3" t="s">
        <v>271</v>
      </c>
      <c r="IS1" s="3" t="s">
        <v>272</v>
      </c>
      <c r="IT1" s="3" t="s">
        <v>273</v>
      </c>
      <c r="IU1" s="3" t="s">
        <v>274</v>
      </c>
      <c r="IV1" s="3" t="s">
        <v>275</v>
      </c>
      <c r="IW1" s="3" t="s">
        <v>276</v>
      </c>
      <c r="IX1" s="3" t="s">
        <v>277</v>
      </c>
      <c r="IY1" s="3" t="s">
        <v>278</v>
      </c>
      <c r="IZ1" s="3" t="s">
        <v>279</v>
      </c>
      <c r="JA1" s="3" t="s">
        <v>280</v>
      </c>
      <c r="JB1" s="3" t="s">
        <v>281</v>
      </c>
      <c r="JC1" s="3" t="s">
        <v>282</v>
      </c>
      <c r="JD1" s="3" t="s">
        <v>283</v>
      </c>
      <c r="JE1" s="3" t="s">
        <v>284</v>
      </c>
      <c r="JF1" s="3" t="s">
        <v>285</v>
      </c>
      <c r="JG1" s="3" t="s">
        <v>286</v>
      </c>
      <c r="JH1" s="3" t="s">
        <v>287</v>
      </c>
      <c r="JI1" s="3" t="s">
        <v>288</v>
      </c>
      <c r="JJ1" s="3" t="s">
        <v>289</v>
      </c>
      <c r="JK1" s="3" t="s">
        <v>290</v>
      </c>
      <c r="JL1" s="3" t="s">
        <v>291</v>
      </c>
      <c r="JM1" s="3" t="s">
        <v>292</v>
      </c>
      <c r="JN1" s="3" t="s">
        <v>293</v>
      </c>
      <c r="JO1" s="3" t="s">
        <v>294</v>
      </c>
      <c r="JP1" s="3" t="s">
        <v>295</v>
      </c>
      <c r="JQ1" s="3" t="s">
        <v>296</v>
      </c>
      <c r="JR1" s="3" t="s">
        <v>297</v>
      </c>
      <c r="JS1" s="3" t="s">
        <v>298</v>
      </c>
      <c r="JT1" s="3" t="s">
        <v>299</v>
      </c>
      <c r="JU1" s="3" t="s">
        <v>300</v>
      </c>
      <c r="JV1" s="3" t="s">
        <v>301</v>
      </c>
      <c r="JW1" s="3" t="s">
        <v>302</v>
      </c>
      <c r="JX1" s="3" t="s">
        <v>303</v>
      </c>
      <c r="JY1" s="3" t="s">
        <v>304</v>
      </c>
      <c r="JZ1" s="3" t="s">
        <v>305</v>
      </c>
      <c r="KA1" s="3" t="s">
        <v>306</v>
      </c>
      <c r="KB1" s="3" t="s">
        <v>307</v>
      </c>
      <c r="KC1" s="3" t="s">
        <v>308</v>
      </c>
      <c r="KD1" s="3" t="s">
        <v>309</v>
      </c>
      <c r="KE1" s="3" t="s">
        <v>310</v>
      </c>
      <c r="KF1" s="3" t="s">
        <v>311</v>
      </c>
      <c r="KG1" s="3" t="s">
        <v>312</v>
      </c>
      <c r="KH1" s="3" t="s">
        <v>313</v>
      </c>
      <c r="KI1" s="3" t="s">
        <v>314</v>
      </c>
      <c r="KJ1" s="3" t="s">
        <v>315</v>
      </c>
      <c r="KK1" s="3" t="s">
        <v>316</v>
      </c>
      <c r="KL1" s="3" t="s">
        <v>317</v>
      </c>
      <c r="KM1" s="3" t="s">
        <v>318</v>
      </c>
      <c r="KN1" s="3" t="s">
        <v>319</v>
      </c>
      <c r="KO1" s="3" t="s">
        <v>320</v>
      </c>
      <c r="KP1" s="3" t="s">
        <v>321</v>
      </c>
      <c r="KQ1" s="3" t="s">
        <v>322</v>
      </c>
      <c r="KR1" s="3" t="s">
        <v>323</v>
      </c>
      <c r="KS1" s="3" t="s">
        <v>324</v>
      </c>
      <c r="KT1" s="3" t="s">
        <v>325</v>
      </c>
      <c r="KU1" s="3" t="s">
        <v>326</v>
      </c>
      <c r="KV1" s="3" t="s">
        <v>327</v>
      </c>
      <c r="KW1" s="3" t="s">
        <v>328</v>
      </c>
      <c r="KX1" s="3" t="s">
        <v>329</v>
      </c>
      <c r="KY1" s="3" t="s">
        <v>330</v>
      </c>
      <c r="KZ1" s="3" t="s">
        <v>331</v>
      </c>
      <c r="LA1" s="3" t="s">
        <v>332</v>
      </c>
      <c r="LB1" s="3" t="s">
        <v>333</v>
      </c>
      <c r="LC1" s="3" t="s">
        <v>334</v>
      </c>
      <c r="LD1" s="3" t="s">
        <v>335</v>
      </c>
      <c r="LE1" s="3" t="s">
        <v>336</v>
      </c>
      <c r="LF1" s="3" t="s">
        <v>337</v>
      </c>
      <c r="LG1" s="3" t="s">
        <v>338</v>
      </c>
      <c r="LH1" s="3" t="s">
        <v>339</v>
      </c>
      <c r="LI1" s="3" t="s">
        <v>340</v>
      </c>
      <c r="LJ1" s="3" t="s">
        <v>341</v>
      </c>
      <c r="LK1" s="3" t="s">
        <v>342</v>
      </c>
      <c r="LL1" s="3" t="s">
        <v>343</v>
      </c>
      <c r="LM1" s="3" t="s">
        <v>344</v>
      </c>
      <c r="LN1" s="3" t="s">
        <v>345</v>
      </c>
      <c r="LO1" s="3" t="s">
        <v>346</v>
      </c>
      <c r="LP1" s="3" t="s">
        <v>347</v>
      </c>
      <c r="LQ1" s="3" t="s">
        <v>348</v>
      </c>
      <c r="LR1" s="3" t="s">
        <v>349</v>
      </c>
      <c r="LS1" s="3" t="s">
        <v>350</v>
      </c>
      <c r="LT1" s="3" t="s">
        <v>351</v>
      </c>
      <c r="LU1" s="3" t="s">
        <v>352</v>
      </c>
      <c r="LV1" s="3" t="s">
        <v>353</v>
      </c>
      <c r="LW1" s="3" t="s">
        <v>354</v>
      </c>
      <c r="LX1" s="3" t="s">
        <v>355</v>
      </c>
      <c r="LY1" s="3" t="s">
        <v>356</v>
      </c>
      <c r="LZ1" s="3" t="s">
        <v>357</v>
      </c>
      <c r="MA1" s="3" t="s">
        <v>358</v>
      </c>
      <c r="MB1" s="3" t="s">
        <v>359</v>
      </c>
      <c r="MC1" s="3" t="s">
        <v>360</v>
      </c>
      <c r="MD1" s="3" t="s">
        <v>361</v>
      </c>
      <c r="ME1" s="3" t="s">
        <v>362</v>
      </c>
      <c r="MF1" s="3" t="s">
        <v>363</v>
      </c>
      <c r="MG1" s="5" t="s">
        <v>364</v>
      </c>
      <c r="MH1" s="3" t="s">
        <v>365</v>
      </c>
      <c r="MI1" s="3" t="s">
        <v>366</v>
      </c>
      <c r="MJ1" s="3" t="s">
        <v>367</v>
      </c>
      <c r="MK1" s="3" t="s">
        <v>368</v>
      </c>
      <c r="ML1" s="3" t="s">
        <v>369</v>
      </c>
      <c r="MM1" s="3" t="s">
        <v>370</v>
      </c>
      <c r="MN1" s="3" t="s">
        <v>371</v>
      </c>
      <c r="MO1" s="3" t="s">
        <v>372</v>
      </c>
      <c r="MP1" s="3" t="s">
        <v>373</v>
      </c>
      <c r="MQ1" s="3" t="s">
        <v>374</v>
      </c>
    </row>
    <row r="2" spans="1:355" x14ac:dyDescent="0.25">
      <c r="A2">
        <v>321993</v>
      </c>
      <c r="B2" t="s">
        <v>0</v>
      </c>
      <c r="C2">
        <v>2519300003</v>
      </c>
      <c r="D2" t="s">
        <v>1</v>
      </c>
      <c r="E2">
        <v>0</v>
      </c>
      <c r="F2">
        <v>0</v>
      </c>
      <c r="G2">
        <v>0</v>
      </c>
      <c r="H2">
        <v>251019</v>
      </c>
      <c r="I2">
        <v>0</v>
      </c>
      <c r="J2">
        <v>0</v>
      </c>
      <c r="K2" t="s">
        <v>2</v>
      </c>
      <c r="L2">
        <v>2025</v>
      </c>
      <c r="M2" t="s">
        <v>3</v>
      </c>
      <c r="N2" t="s">
        <v>4</v>
      </c>
      <c r="O2" t="s">
        <v>5</v>
      </c>
      <c r="P2">
        <v>-23215500</v>
      </c>
      <c r="R2" s="6">
        <v>1000</v>
      </c>
      <c r="W2">
        <v>1062</v>
      </c>
      <c r="Y2">
        <v>2055</v>
      </c>
      <c r="AC2">
        <v>1062</v>
      </c>
      <c r="AE2">
        <v>2055</v>
      </c>
      <c r="AI2">
        <v>1062</v>
      </c>
      <c r="AU2" t="s">
        <v>6</v>
      </c>
      <c r="AW2">
        <v>1</v>
      </c>
      <c r="BC2" s="6">
        <v>1</v>
      </c>
      <c r="BD2">
        <v>-335</v>
      </c>
      <c r="BE2">
        <v>-335</v>
      </c>
      <c r="BF2">
        <v>69300</v>
      </c>
      <c r="BG2">
        <v>69300</v>
      </c>
      <c r="BQ2" t="s">
        <v>7</v>
      </c>
      <c r="BS2" t="s">
        <v>8</v>
      </c>
      <c r="BW2" s="1">
        <v>45833</v>
      </c>
      <c r="CH2">
        <v>-3</v>
      </c>
      <c r="CI2">
        <v>2519300003</v>
      </c>
      <c r="CJ2">
        <v>1</v>
      </c>
      <c r="CK2" s="1">
        <v>45833</v>
      </c>
      <c r="CL2" t="s">
        <v>0</v>
      </c>
      <c r="CU2">
        <v>1273</v>
      </c>
      <c r="DP2" s="7">
        <f t="shared" ref="DP2:DP6" si="0">VLOOKUP(CU2,S:U,3,0)</f>
        <v>321949</v>
      </c>
      <c r="GH2" t="s">
        <v>9</v>
      </c>
      <c r="HA2">
        <v>87</v>
      </c>
      <c r="HB2">
        <v>0</v>
      </c>
      <c r="HC2">
        <v>1</v>
      </c>
      <c r="HD2">
        <v>0</v>
      </c>
      <c r="HE2">
        <v>0</v>
      </c>
      <c r="HG2">
        <v>0</v>
      </c>
      <c r="HM2" t="s">
        <v>10</v>
      </c>
      <c r="HR2">
        <v>1153</v>
      </c>
      <c r="HS2" s="2">
        <v>45833.456053240741</v>
      </c>
      <c r="HT2">
        <v>1213</v>
      </c>
      <c r="HU2" s="2">
        <v>45834.91741898148</v>
      </c>
      <c r="HV2">
        <v>11742145</v>
      </c>
      <c r="HY2">
        <v>85</v>
      </c>
      <c r="KA2" t="s">
        <v>11</v>
      </c>
      <c r="KE2">
        <v>87</v>
      </c>
      <c r="MF2">
        <v>1</v>
      </c>
      <c r="MG2" s="2">
        <v>45833.428900462961</v>
      </c>
      <c r="MH2">
        <v>251019</v>
      </c>
    </row>
    <row r="3" spans="1:355" x14ac:dyDescent="0.25">
      <c r="A3">
        <v>321994</v>
      </c>
      <c r="B3" t="s">
        <v>0</v>
      </c>
      <c r="C3">
        <v>2519300003</v>
      </c>
      <c r="D3" t="s">
        <v>1</v>
      </c>
      <c r="E3">
        <v>0</v>
      </c>
      <c r="F3">
        <v>0</v>
      </c>
      <c r="G3">
        <v>0</v>
      </c>
      <c r="H3">
        <v>251020</v>
      </c>
      <c r="I3">
        <v>0</v>
      </c>
      <c r="J3">
        <v>0</v>
      </c>
      <c r="K3" t="s">
        <v>2</v>
      </c>
      <c r="L3">
        <v>2025</v>
      </c>
      <c r="M3" t="s">
        <v>3</v>
      </c>
      <c r="N3" t="s">
        <v>12</v>
      </c>
      <c r="O3" t="s">
        <v>5</v>
      </c>
      <c r="P3">
        <v>-59073100</v>
      </c>
      <c r="R3" s="6">
        <v>1000</v>
      </c>
      <c r="W3">
        <v>1062</v>
      </c>
      <c r="Y3">
        <v>2055</v>
      </c>
      <c r="AC3">
        <v>1062</v>
      </c>
      <c r="AE3">
        <v>2055</v>
      </c>
      <c r="AI3">
        <v>1062</v>
      </c>
      <c r="AU3" t="s">
        <v>6</v>
      </c>
      <c r="AW3">
        <v>1</v>
      </c>
      <c r="BC3" s="6">
        <v>2</v>
      </c>
      <c r="BD3">
        <v>-487</v>
      </c>
      <c r="BE3">
        <v>-487</v>
      </c>
      <c r="BF3">
        <v>121300</v>
      </c>
      <c r="BG3">
        <v>121300</v>
      </c>
      <c r="BQ3" t="s">
        <v>7</v>
      </c>
      <c r="BS3" t="s">
        <v>8</v>
      </c>
      <c r="BW3" s="1">
        <v>45833</v>
      </c>
      <c r="CH3">
        <v>-3</v>
      </c>
      <c r="CI3">
        <v>2519300003</v>
      </c>
      <c r="CJ3">
        <v>2</v>
      </c>
      <c r="CK3" s="1">
        <v>45833</v>
      </c>
      <c r="CL3" t="s">
        <v>0</v>
      </c>
      <c r="CU3">
        <v>1232</v>
      </c>
      <c r="DP3" s="7">
        <f t="shared" si="0"/>
        <v>321945</v>
      </c>
      <c r="GH3" t="s">
        <v>9</v>
      </c>
      <c r="HA3">
        <v>87</v>
      </c>
      <c r="HB3">
        <v>0</v>
      </c>
      <c r="HC3">
        <v>1</v>
      </c>
      <c r="HD3">
        <v>0</v>
      </c>
      <c r="HE3">
        <v>0</v>
      </c>
      <c r="HG3">
        <v>0</v>
      </c>
      <c r="HM3" t="s">
        <v>10</v>
      </c>
      <c r="HR3">
        <v>1153</v>
      </c>
      <c r="HS3" s="2">
        <v>45833.456053240741</v>
      </c>
      <c r="HT3">
        <v>1213</v>
      </c>
      <c r="HU3" s="2">
        <v>45834.91741898148</v>
      </c>
      <c r="HV3">
        <v>11742145</v>
      </c>
      <c r="HY3">
        <v>85</v>
      </c>
      <c r="KA3" t="s">
        <v>11</v>
      </c>
      <c r="KE3">
        <v>87</v>
      </c>
      <c r="MF3">
        <v>1</v>
      </c>
      <c r="MG3" s="2">
        <v>45833.428900462961</v>
      </c>
      <c r="MH3">
        <v>251020</v>
      </c>
    </row>
    <row r="4" spans="1:355" x14ac:dyDescent="0.25">
      <c r="A4">
        <v>321995</v>
      </c>
      <c r="B4" t="s">
        <v>0</v>
      </c>
      <c r="C4">
        <v>2519300003</v>
      </c>
      <c r="D4" t="s">
        <v>1</v>
      </c>
      <c r="E4">
        <v>0</v>
      </c>
      <c r="F4">
        <v>0</v>
      </c>
      <c r="G4">
        <v>0</v>
      </c>
      <c r="H4">
        <v>251021</v>
      </c>
      <c r="I4">
        <v>0</v>
      </c>
      <c r="J4">
        <v>0</v>
      </c>
      <c r="K4" t="s">
        <v>2</v>
      </c>
      <c r="L4">
        <v>2025</v>
      </c>
      <c r="M4" t="s">
        <v>3</v>
      </c>
      <c r="N4" t="s">
        <v>13</v>
      </c>
      <c r="O4" t="s">
        <v>5</v>
      </c>
      <c r="P4">
        <v>-43732000</v>
      </c>
      <c r="R4" s="6">
        <v>1000</v>
      </c>
      <c r="W4">
        <v>1062</v>
      </c>
      <c r="Y4">
        <v>2055</v>
      </c>
      <c r="AC4">
        <v>1062</v>
      </c>
      <c r="AE4">
        <v>2055</v>
      </c>
      <c r="AI4">
        <v>1062</v>
      </c>
      <c r="AU4" t="s">
        <v>6</v>
      </c>
      <c r="AW4">
        <v>1</v>
      </c>
      <c r="BC4" s="6">
        <v>3</v>
      </c>
      <c r="BD4">
        <v>-520</v>
      </c>
      <c r="BE4">
        <v>-520</v>
      </c>
      <c r="BF4">
        <v>84100</v>
      </c>
      <c r="BG4">
        <v>84100</v>
      </c>
      <c r="BQ4" t="s">
        <v>7</v>
      </c>
      <c r="BS4" t="s">
        <v>8</v>
      </c>
      <c r="BW4" s="1">
        <v>45833</v>
      </c>
      <c r="CH4">
        <v>-3</v>
      </c>
      <c r="CI4">
        <v>2519300003</v>
      </c>
      <c r="CJ4">
        <v>3</v>
      </c>
      <c r="CK4" s="1">
        <v>45833</v>
      </c>
      <c r="CL4" t="s">
        <v>0</v>
      </c>
      <c r="CU4">
        <v>55064</v>
      </c>
      <c r="DP4" s="7">
        <f t="shared" si="0"/>
        <v>321946</v>
      </c>
      <c r="GH4" t="s">
        <v>9</v>
      </c>
      <c r="HA4">
        <v>87</v>
      </c>
      <c r="HB4">
        <v>0</v>
      </c>
      <c r="HC4">
        <v>1</v>
      </c>
      <c r="HD4">
        <v>0</v>
      </c>
      <c r="HE4">
        <v>0</v>
      </c>
      <c r="HG4">
        <v>0</v>
      </c>
      <c r="HM4" t="s">
        <v>10</v>
      </c>
      <c r="HR4">
        <v>1153</v>
      </c>
      <c r="HS4" s="2">
        <v>45833.456053240741</v>
      </c>
      <c r="HT4">
        <v>1213</v>
      </c>
      <c r="HU4" s="2">
        <v>45834.91741898148</v>
      </c>
      <c r="HV4">
        <v>11742145</v>
      </c>
      <c r="HY4">
        <v>85</v>
      </c>
      <c r="KA4" t="s">
        <v>11</v>
      </c>
      <c r="KE4">
        <v>87</v>
      </c>
      <c r="MF4">
        <v>1</v>
      </c>
      <c r="MG4" s="2">
        <v>45833.428900462961</v>
      </c>
      <c r="MH4">
        <v>251021</v>
      </c>
    </row>
    <row r="5" spans="1:355" x14ac:dyDescent="0.25">
      <c r="A5">
        <v>321996</v>
      </c>
      <c r="B5" t="s">
        <v>0</v>
      </c>
      <c r="C5">
        <v>2519300003</v>
      </c>
      <c r="D5" t="s">
        <v>1</v>
      </c>
      <c r="E5">
        <v>0</v>
      </c>
      <c r="F5">
        <v>0</v>
      </c>
      <c r="G5">
        <v>0</v>
      </c>
      <c r="H5">
        <v>251022</v>
      </c>
      <c r="I5">
        <v>0</v>
      </c>
      <c r="J5">
        <v>0</v>
      </c>
      <c r="K5" t="s">
        <v>2</v>
      </c>
      <c r="L5">
        <v>2025</v>
      </c>
      <c r="M5" t="s">
        <v>3</v>
      </c>
      <c r="N5" t="s">
        <v>14</v>
      </c>
      <c r="O5" t="s">
        <v>5</v>
      </c>
      <c r="P5">
        <v>-131302500</v>
      </c>
      <c r="R5" s="6">
        <v>1000</v>
      </c>
      <c r="W5">
        <v>1062</v>
      </c>
      <c r="Y5">
        <v>2055</v>
      </c>
      <c r="AC5">
        <v>1062</v>
      </c>
      <c r="AE5">
        <v>2055</v>
      </c>
      <c r="AI5">
        <v>1062</v>
      </c>
      <c r="AU5" t="s">
        <v>6</v>
      </c>
      <c r="AW5">
        <v>1</v>
      </c>
      <c r="BC5" s="6">
        <v>4</v>
      </c>
      <c r="BD5">
        <v>-1435</v>
      </c>
      <c r="BE5">
        <v>-1435</v>
      </c>
      <c r="BF5">
        <v>91500</v>
      </c>
      <c r="BG5">
        <v>91500</v>
      </c>
      <c r="BQ5" t="s">
        <v>7</v>
      </c>
      <c r="BS5" t="s">
        <v>8</v>
      </c>
      <c r="BW5" s="1">
        <v>45833</v>
      </c>
      <c r="CH5">
        <v>-3</v>
      </c>
      <c r="CI5">
        <v>2519300003</v>
      </c>
      <c r="CJ5">
        <v>4</v>
      </c>
      <c r="CK5" s="1">
        <v>45833</v>
      </c>
      <c r="CL5" t="s">
        <v>0</v>
      </c>
      <c r="CU5">
        <v>30046</v>
      </c>
      <c r="DP5" s="7">
        <f t="shared" si="0"/>
        <v>321947</v>
      </c>
      <c r="GH5" t="s">
        <v>9</v>
      </c>
      <c r="HA5">
        <v>87</v>
      </c>
      <c r="HB5">
        <v>0</v>
      </c>
      <c r="HC5">
        <v>1</v>
      </c>
      <c r="HD5">
        <v>0</v>
      </c>
      <c r="HE5">
        <v>0</v>
      </c>
      <c r="HG5">
        <v>0</v>
      </c>
      <c r="HM5" t="s">
        <v>10</v>
      </c>
      <c r="HR5">
        <v>1153</v>
      </c>
      <c r="HS5" s="2">
        <v>45833.456053240741</v>
      </c>
      <c r="HT5">
        <v>1213</v>
      </c>
      <c r="HU5" s="2">
        <v>45834.91741898148</v>
      </c>
      <c r="HV5">
        <v>11742145</v>
      </c>
      <c r="HY5">
        <v>85</v>
      </c>
      <c r="KA5" t="s">
        <v>11</v>
      </c>
      <c r="KE5">
        <v>87</v>
      </c>
      <c r="MF5">
        <v>1</v>
      </c>
      <c r="MG5" s="2">
        <v>45833.428900462961</v>
      </c>
      <c r="MH5">
        <v>251022</v>
      </c>
    </row>
    <row r="6" spans="1:355" x14ac:dyDescent="0.25">
      <c r="A6">
        <v>321997</v>
      </c>
      <c r="B6" t="s">
        <v>0</v>
      </c>
      <c r="C6">
        <v>2519300003</v>
      </c>
      <c r="D6" t="s">
        <v>1</v>
      </c>
      <c r="E6">
        <v>0</v>
      </c>
      <c r="F6">
        <v>0</v>
      </c>
      <c r="G6">
        <v>0</v>
      </c>
      <c r="H6">
        <v>251023</v>
      </c>
      <c r="I6">
        <v>0</v>
      </c>
      <c r="J6">
        <v>0</v>
      </c>
      <c r="K6" t="s">
        <v>2</v>
      </c>
      <c r="L6">
        <v>2025</v>
      </c>
      <c r="M6" t="s">
        <v>3</v>
      </c>
      <c r="N6" t="s">
        <v>15</v>
      </c>
      <c r="O6" t="s">
        <v>5</v>
      </c>
      <c r="P6">
        <v>-219840000</v>
      </c>
      <c r="R6" s="6">
        <v>1000</v>
      </c>
      <c r="W6">
        <v>1062</v>
      </c>
      <c r="Y6">
        <v>2055</v>
      </c>
      <c r="AC6">
        <v>1062</v>
      </c>
      <c r="AE6">
        <v>2055</v>
      </c>
      <c r="AI6">
        <v>1062</v>
      </c>
      <c r="AU6" t="s">
        <v>6</v>
      </c>
      <c r="AW6">
        <v>1</v>
      </c>
      <c r="BC6" s="6">
        <v>5</v>
      </c>
      <c r="BD6">
        <v>-2400</v>
      </c>
      <c r="BE6">
        <v>-2400</v>
      </c>
      <c r="BF6">
        <v>91600</v>
      </c>
      <c r="BG6">
        <v>91600</v>
      </c>
      <c r="BQ6" t="s">
        <v>7</v>
      </c>
      <c r="BS6" t="s">
        <v>8</v>
      </c>
      <c r="BW6" s="2">
        <v>45833</v>
      </c>
      <c r="CH6">
        <v>-3</v>
      </c>
      <c r="CI6">
        <v>2519300003</v>
      </c>
      <c r="CJ6">
        <v>5</v>
      </c>
      <c r="CK6" s="2">
        <v>45833</v>
      </c>
      <c r="CL6" t="s">
        <v>0</v>
      </c>
      <c r="CU6">
        <v>11020</v>
      </c>
      <c r="DP6" s="7">
        <f t="shared" si="0"/>
        <v>321948</v>
      </c>
      <c r="GH6" t="s">
        <v>9</v>
      </c>
      <c r="HA6">
        <v>87</v>
      </c>
      <c r="HB6">
        <v>0</v>
      </c>
      <c r="HC6">
        <v>1</v>
      </c>
      <c r="HD6">
        <v>0</v>
      </c>
      <c r="HE6">
        <v>0</v>
      </c>
      <c r="HG6">
        <v>0</v>
      </c>
      <c r="HM6" t="s">
        <v>10</v>
      </c>
      <c r="HR6">
        <v>1153</v>
      </c>
      <c r="HS6" s="2">
        <v>45833.456053240741</v>
      </c>
      <c r="HT6">
        <v>1213</v>
      </c>
      <c r="HU6" s="2">
        <v>45834.91741898148</v>
      </c>
      <c r="HV6">
        <v>11742145</v>
      </c>
      <c r="HY6">
        <v>85</v>
      </c>
      <c r="KA6" t="s">
        <v>11</v>
      </c>
      <c r="KE6">
        <v>87</v>
      </c>
      <c r="MF6">
        <v>1</v>
      </c>
      <c r="MG6" s="2">
        <v>45833.428900462961</v>
      </c>
      <c r="MH6">
        <v>251023</v>
      </c>
    </row>
    <row r="7" spans="1:355" x14ac:dyDescent="0.25">
      <c r="B7" t="s">
        <v>0</v>
      </c>
      <c r="C7">
        <v>2519300002</v>
      </c>
      <c r="D7" t="s">
        <v>1</v>
      </c>
      <c r="E7">
        <v>0</v>
      </c>
      <c r="F7">
        <v>0</v>
      </c>
      <c r="G7">
        <v>0</v>
      </c>
      <c r="H7">
        <v>247800</v>
      </c>
      <c r="I7">
        <v>0</v>
      </c>
      <c r="J7">
        <v>0</v>
      </c>
      <c r="K7" t="s">
        <v>2</v>
      </c>
      <c r="L7">
        <v>2025</v>
      </c>
      <c r="M7" t="s">
        <v>3</v>
      </c>
      <c r="N7" t="s">
        <v>16</v>
      </c>
      <c r="O7" t="s">
        <v>5</v>
      </c>
      <c r="P7">
        <v>-92400000</v>
      </c>
      <c r="R7">
        <v>2</v>
      </c>
      <c r="W7">
        <v>1062</v>
      </c>
      <c r="Y7">
        <v>2055</v>
      </c>
      <c r="AC7">
        <v>1062</v>
      </c>
      <c r="AE7">
        <v>2055</v>
      </c>
      <c r="AI7">
        <v>1062</v>
      </c>
      <c r="AU7" t="s">
        <v>6</v>
      </c>
      <c r="AW7">
        <v>1</v>
      </c>
      <c r="BD7">
        <v>-1000</v>
      </c>
      <c r="BE7">
        <v>-1000</v>
      </c>
      <c r="BF7">
        <v>92400</v>
      </c>
      <c r="BG7">
        <v>92400</v>
      </c>
      <c r="BQ7" t="s">
        <v>7</v>
      </c>
      <c r="BS7" t="s">
        <v>8</v>
      </c>
      <c r="BW7" s="2">
        <v>45810.609583333331</v>
      </c>
      <c r="CH7">
        <v>-3</v>
      </c>
      <c r="CI7">
        <v>2519300002</v>
      </c>
      <c r="CJ7">
        <v>4</v>
      </c>
      <c r="CK7" s="2">
        <v>45810.592766203707</v>
      </c>
      <c r="CL7" t="s">
        <v>0</v>
      </c>
      <c r="CU7">
        <v>87046</v>
      </c>
      <c r="DP7">
        <v>317814</v>
      </c>
      <c r="GH7" t="s">
        <v>9</v>
      </c>
      <c r="HA7">
        <v>87</v>
      </c>
      <c r="HB7">
        <v>0</v>
      </c>
      <c r="HC7">
        <v>1</v>
      </c>
      <c r="HD7">
        <v>0</v>
      </c>
      <c r="HE7">
        <v>0</v>
      </c>
      <c r="HG7">
        <v>0</v>
      </c>
      <c r="HM7" t="s">
        <v>10</v>
      </c>
      <c r="HR7">
        <v>-1</v>
      </c>
      <c r="HS7" s="2">
        <v>45834.928425925929</v>
      </c>
      <c r="HT7">
        <v>-1</v>
      </c>
      <c r="HU7" s="2">
        <v>45834.928425925929</v>
      </c>
      <c r="HY7">
        <v>85</v>
      </c>
      <c r="KE7">
        <v>87</v>
      </c>
      <c r="MF7">
        <v>1</v>
      </c>
      <c r="MG7" s="2">
        <v>45810.592766203707</v>
      </c>
      <c r="MH7">
        <v>247659</v>
      </c>
    </row>
    <row r="8" spans="1:355" x14ac:dyDescent="0.25">
      <c r="B8" t="s">
        <v>0</v>
      </c>
      <c r="C8">
        <v>2519300002</v>
      </c>
      <c r="D8" t="s">
        <v>1</v>
      </c>
      <c r="E8">
        <v>0</v>
      </c>
      <c r="F8">
        <v>0</v>
      </c>
      <c r="G8">
        <v>0</v>
      </c>
      <c r="H8">
        <v>247795</v>
      </c>
      <c r="I8">
        <v>0</v>
      </c>
      <c r="J8">
        <v>0</v>
      </c>
      <c r="K8" t="s">
        <v>2</v>
      </c>
      <c r="L8">
        <v>2025</v>
      </c>
      <c r="M8" t="s">
        <v>3</v>
      </c>
      <c r="N8" t="s">
        <v>17</v>
      </c>
      <c r="O8" t="s">
        <v>5</v>
      </c>
      <c r="P8">
        <v>-27429000</v>
      </c>
      <c r="R8">
        <v>2</v>
      </c>
      <c r="W8">
        <v>1062</v>
      </c>
      <c r="Y8">
        <v>2055</v>
      </c>
      <c r="AC8">
        <v>1062</v>
      </c>
      <c r="AE8">
        <v>2055</v>
      </c>
      <c r="AI8">
        <v>1062</v>
      </c>
      <c r="AU8" t="s">
        <v>6</v>
      </c>
      <c r="AW8">
        <v>1</v>
      </c>
      <c r="BD8">
        <v>-410</v>
      </c>
      <c r="BE8">
        <v>-410</v>
      </c>
      <c r="BF8">
        <v>66900</v>
      </c>
      <c r="BG8">
        <v>66900</v>
      </c>
      <c r="BQ8" t="s">
        <v>7</v>
      </c>
      <c r="BS8" t="s">
        <v>8</v>
      </c>
      <c r="BW8" s="2">
        <v>45810.609583333331</v>
      </c>
      <c r="CH8">
        <v>-3</v>
      </c>
      <c r="CI8">
        <v>2519300002</v>
      </c>
      <c r="CJ8">
        <v>1</v>
      </c>
      <c r="CK8" s="2">
        <v>45810.592766203707</v>
      </c>
      <c r="CL8" t="s">
        <v>0</v>
      </c>
      <c r="CU8">
        <v>65046</v>
      </c>
      <c r="DP8">
        <v>317816</v>
      </c>
      <c r="GH8" t="s">
        <v>9</v>
      </c>
      <c r="HA8">
        <v>87</v>
      </c>
      <c r="HB8">
        <v>0</v>
      </c>
      <c r="HC8">
        <v>1</v>
      </c>
      <c r="HD8">
        <v>0</v>
      </c>
      <c r="HE8">
        <v>0</v>
      </c>
      <c r="HG8">
        <v>0</v>
      </c>
      <c r="HM8" t="s">
        <v>10</v>
      </c>
      <c r="HR8">
        <v>-1</v>
      </c>
      <c r="HS8" s="2">
        <v>45834.928425925929</v>
      </c>
      <c r="HT8">
        <v>-1</v>
      </c>
      <c r="HU8" s="2">
        <v>45834.928425925929</v>
      </c>
      <c r="HY8">
        <v>85</v>
      </c>
      <c r="KE8">
        <v>87</v>
      </c>
      <c r="MF8">
        <v>1</v>
      </c>
      <c r="MG8" s="2">
        <v>45810.592766203707</v>
      </c>
      <c r="MH8">
        <v>247661</v>
      </c>
    </row>
    <row r="9" spans="1:355" x14ac:dyDescent="0.25">
      <c r="B9" t="s">
        <v>0</v>
      </c>
      <c r="C9">
        <v>2519300002</v>
      </c>
      <c r="D9" t="s">
        <v>1</v>
      </c>
      <c r="E9">
        <v>0</v>
      </c>
      <c r="F9">
        <v>0</v>
      </c>
      <c r="G9">
        <v>0</v>
      </c>
      <c r="H9">
        <v>247798</v>
      </c>
      <c r="I9">
        <v>0</v>
      </c>
      <c r="J9">
        <v>0</v>
      </c>
      <c r="K9" t="s">
        <v>2</v>
      </c>
      <c r="L9">
        <v>2025</v>
      </c>
      <c r="M9" t="s">
        <v>3</v>
      </c>
      <c r="N9" t="s">
        <v>14</v>
      </c>
      <c r="O9" t="s">
        <v>5</v>
      </c>
      <c r="P9">
        <v>-56272500</v>
      </c>
      <c r="R9">
        <v>2</v>
      </c>
      <c r="W9">
        <v>1062</v>
      </c>
      <c r="Y9">
        <v>2055</v>
      </c>
      <c r="AC9">
        <v>1062</v>
      </c>
      <c r="AE9">
        <v>2055</v>
      </c>
      <c r="AI9">
        <v>1062</v>
      </c>
      <c r="AU9" t="s">
        <v>6</v>
      </c>
      <c r="AW9">
        <v>1</v>
      </c>
      <c r="BD9">
        <v>-615</v>
      </c>
      <c r="BE9">
        <v>-615</v>
      </c>
      <c r="BF9">
        <v>91500</v>
      </c>
      <c r="BG9">
        <v>91500</v>
      </c>
      <c r="BQ9" t="s">
        <v>7</v>
      </c>
      <c r="BS9" t="s">
        <v>8</v>
      </c>
      <c r="BW9" s="2">
        <v>45810.609583333331</v>
      </c>
      <c r="CH9">
        <v>-3</v>
      </c>
      <c r="CI9">
        <v>2519300002</v>
      </c>
      <c r="CJ9">
        <v>2</v>
      </c>
      <c r="CK9" s="2">
        <v>45810.592766203707</v>
      </c>
      <c r="CL9" t="s">
        <v>0</v>
      </c>
      <c r="CU9">
        <v>30046</v>
      </c>
      <c r="DP9">
        <v>317813</v>
      </c>
      <c r="GH9" t="s">
        <v>9</v>
      </c>
      <c r="HA9">
        <v>87</v>
      </c>
      <c r="HB9">
        <v>0</v>
      </c>
      <c r="HC9">
        <v>1</v>
      </c>
      <c r="HD9">
        <v>0</v>
      </c>
      <c r="HE9">
        <v>0</v>
      </c>
      <c r="HG9">
        <v>0</v>
      </c>
      <c r="HM9" t="s">
        <v>10</v>
      </c>
      <c r="HR9">
        <v>-1</v>
      </c>
      <c r="HS9" s="2">
        <v>45834.928425925929</v>
      </c>
      <c r="HT9">
        <v>-1</v>
      </c>
      <c r="HU9" s="2">
        <v>45834.928425925929</v>
      </c>
      <c r="HY9">
        <v>85</v>
      </c>
      <c r="KE9">
        <v>87</v>
      </c>
      <c r="MF9">
        <v>1</v>
      </c>
      <c r="MG9" s="2">
        <v>45810.592766203707</v>
      </c>
      <c r="MH9">
        <v>247658</v>
      </c>
    </row>
    <row r="10" spans="1:355" x14ac:dyDescent="0.25">
      <c r="B10" t="s">
        <v>0</v>
      </c>
      <c r="C10">
        <v>2519300002</v>
      </c>
      <c r="D10" t="s">
        <v>1</v>
      </c>
      <c r="E10">
        <v>0</v>
      </c>
      <c r="F10">
        <v>0</v>
      </c>
      <c r="G10">
        <v>0</v>
      </c>
      <c r="H10">
        <v>247799</v>
      </c>
      <c r="I10">
        <v>0</v>
      </c>
      <c r="J10">
        <v>0</v>
      </c>
      <c r="K10" t="s">
        <v>2</v>
      </c>
      <c r="L10">
        <v>2025</v>
      </c>
      <c r="M10" t="s">
        <v>3</v>
      </c>
      <c r="N10" t="s">
        <v>18</v>
      </c>
      <c r="O10" t="s">
        <v>5</v>
      </c>
      <c r="P10">
        <v>-77600000</v>
      </c>
      <c r="R10">
        <v>2</v>
      </c>
      <c r="W10">
        <v>1062</v>
      </c>
      <c r="Y10">
        <v>2055</v>
      </c>
      <c r="AC10">
        <v>1062</v>
      </c>
      <c r="AE10">
        <v>2055</v>
      </c>
      <c r="AI10">
        <v>1062</v>
      </c>
      <c r="AU10" t="s">
        <v>6</v>
      </c>
      <c r="AW10">
        <v>1</v>
      </c>
      <c r="BD10">
        <v>-1000</v>
      </c>
      <c r="BE10">
        <v>-1000</v>
      </c>
      <c r="BF10">
        <v>77600</v>
      </c>
      <c r="BG10">
        <v>77600</v>
      </c>
      <c r="BQ10" t="s">
        <v>7</v>
      </c>
      <c r="BS10" t="s">
        <v>8</v>
      </c>
      <c r="BW10" s="2">
        <v>45810.609583333331</v>
      </c>
      <c r="CH10">
        <v>-3</v>
      </c>
      <c r="CI10">
        <v>2519300002</v>
      </c>
      <c r="CJ10">
        <v>3</v>
      </c>
      <c r="CK10" s="2">
        <v>45810.592766203707</v>
      </c>
      <c r="CL10" t="s">
        <v>0</v>
      </c>
      <c r="CU10">
        <v>11019</v>
      </c>
      <c r="DP10">
        <v>317812</v>
      </c>
      <c r="GH10" t="s">
        <v>9</v>
      </c>
      <c r="HA10">
        <v>87</v>
      </c>
      <c r="HB10">
        <v>0</v>
      </c>
      <c r="HC10">
        <v>1</v>
      </c>
      <c r="HD10">
        <v>0</v>
      </c>
      <c r="HE10">
        <v>0</v>
      </c>
      <c r="HG10">
        <v>0</v>
      </c>
      <c r="HM10" t="s">
        <v>10</v>
      </c>
      <c r="HR10">
        <v>-1</v>
      </c>
      <c r="HS10" s="2">
        <v>45834.928425925929</v>
      </c>
      <c r="HT10">
        <v>-1</v>
      </c>
      <c r="HU10" s="2">
        <v>45834.928425925929</v>
      </c>
      <c r="HY10">
        <v>85</v>
      </c>
      <c r="KE10">
        <v>87</v>
      </c>
      <c r="MF10">
        <v>1</v>
      </c>
      <c r="MG10" s="2">
        <v>45810.592766203707</v>
      </c>
      <c r="MH10">
        <v>247657</v>
      </c>
    </row>
    <row r="11" spans="1:355" x14ac:dyDescent="0.25">
      <c r="B11" t="s">
        <v>0</v>
      </c>
      <c r="C11">
        <v>2519300002</v>
      </c>
      <c r="D11" t="s">
        <v>1</v>
      </c>
      <c r="E11">
        <v>0</v>
      </c>
      <c r="F11">
        <v>0</v>
      </c>
      <c r="G11">
        <v>0</v>
      </c>
      <c r="H11">
        <v>247801</v>
      </c>
      <c r="I11">
        <v>0</v>
      </c>
      <c r="J11">
        <v>0</v>
      </c>
      <c r="K11" t="s">
        <v>2</v>
      </c>
      <c r="L11">
        <v>2025</v>
      </c>
      <c r="M11" t="s">
        <v>3</v>
      </c>
      <c r="N11" t="s">
        <v>19</v>
      </c>
      <c r="O11" t="s">
        <v>5</v>
      </c>
      <c r="P11">
        <v>-18069000</v>
      </c>
      <c r="R11">
        <v>2</v>
      </c>
      <c r="W11">
        <v>1062</v>
      </c>
      <c r="Y11">
        <v>2055</v>
      </c>
      <c r="AC11">
        <v>1062</v>
      </c>
      <c r="AE11">
        <v>2055</v>
      </c>
      <c r="AI11">
        <v>1062</v>
      </c>
      <c r="AU11" t="s">
        <v>6</v>
      </c>
      <c r="AW11">
        <v>1</v>
      </c>
      <c r="BD11">
        <v>-190</v>
      </c>
      <c r="BE11">
        <v>-190</v>
      </c>
      <c r="BF11">
        <v>95100</v>
      </c>
      <c r="BG11">
        <v>95100</v>
      </c>
      <c r="BQ11" t="s">
        <v>7</v>
      </c>
      <c r="BS11" t="s">
        <v>8</v>
      </c>
      <c r="BW11" s="2">
        <v>45810.609583333331</v>
      </c>
      <c r="CH11">
        <v>-3</v>
      </c>
      <c r="CI11">
        <v>2519300002</v>
      </c>
      <c r="CJ11">
        <v>5</v>
      </c>
      <c r="CK11" s="2">
        <v>45810.592766203707</v>
      </c>
      <c r="CL11" t="s">
        <v>0</v>
      </c>
      <c r="CU11">
        <v>21037</v>
      </c>
      <c r="DP11">
        <v>317815</v>
      </c>
      <c r="GH11" t="s">
        <v>9</v>
      </c>
      <c r="HA11">
        <v>87</v>
      </c>
      <c r="HB11">
        <v>0</v>
      </c>
      <c r="HC11">
        <v>1</v>
      </c>
      <c r="HD11">
        <v>0</v>
      </c>
      <c r="HE11">
        <v>0</v>
      </c>
      <c r="HG11">
        <v>0</v>
      </c>
      <c r="HM11" t="s">
        <v>10</v>
      </c>
      <c r="HR11">
        <v>-1</v>
      </c>
      <c r="HS11" s="2">
        <v>45834.928425925929</v>
      </c>
      <c r="HT11">
        <v>-1</v>
      </c>
      <c r="HU11" s="2">
        <v>45834.928425925929</v>
      </c>
      <c r="HY11">
        <v>85</v>
      </c>
      <c r="KE11">
        <v>87</v>
      </c>
      <c r="MF11">
        <v>1</v>
      </c>
      <c r="MG11" s="2">
        <v>45810.592766203707</v>
      </c>
      <c r="MH11">
        <v>247660</v>
      </c>
    </row>
    <row r="18" spans="9:177" x14ac:dyDescent="0.25">
      <c r="I18" s="3" t="s">
        <v>375</v>
      </c>
      <c r="J18" s="3" t="s">
        <v>248</v>
      </c>
      <c r="K18" s="3" t="s">
        <v>247</v>
      </c>
      <c r="L18" s="3" t="s">
        <v>246</v>
      </c>
      <c r="M18" s="3" t="s">
        <v>245</v>
      </c>
      <c r="N18" s="3" t="s">
        <v>249</v>
      </c>
      <c r="O18" s="3" t="s">
        <v>69</v>
      </c>
      <c r="P18" s="3" t="s">
        <v>74</v>
      </c>
      <c r="Q18" s="3" t="s">
        <v>31</v>
      </c>
      <c r="R18" s="3" t="s">
        <v>88</v>
      </c>
      <c r="S18" s="3" t="s">
        <v>118</v>
      </c>
      <c r="T18" s="3" t="s">
        <v>33</v>
      </c>
      <c r="U18" s="3" t="s">
        <v>85</v>
      </c>
      <c r="V18" s="3" t="s">
        <v>376</v>
      </c>
      <c r="W18" s="3" t="s">
        <v>76</v>
      </c>
      <c r="X18" s="3" t="s">
        <v>377</v>
      </c>
      <c r="Y18" s="3" t="s">
        <v>378</v>
      </c>
      <c r="Z18" s="3" t="s">
        <v>78</v>
      </c>
      <c r="AA18" s="3" t="s">
        <v>77</v>
      </c>
      <c r="AB18" s="3" t="s">
        <v>106</v>
      </c>
      <c r="AC18" s="3" t="s">
        <v>110</v>
      </c>
      <c r="AD18" s="3" t="s">
        <v>107</v>
      </c>
      <c r="AE18" s="3" t="s">
        <v>108</v>
      </c>
      <c r="AF18" s="3" t="s">
        <v>101</v>
      </c>
      <c r="AG18" s="3" t="s">
        <v>102</v>
      </c>
      <c r="AH18" s="3" t="s">
        <v>32</v>
      </c>
      <c r="AI18" s="3" t="s">
        <v>169</v>
      </c>
      <c r="AJ18" s="3" t="s">
        <v>170</v>
      </c>
      <c r="AK18" s="3" t="s">
        <v>171</v>
      </c>
      <c r="AL18" s="3" t="s">
        <v>172</v>
      </c>
      <c r="AM18" s="3" t="s">
        <v>173</v>
      </c>
      <c r="AN18" s="3" t="s">
        <v>174</v>
      </c>
      <c r="AO18" s="3" t="s">
        <v>175</v>
      </c>
      <c r="AP18" s="3" t="s">
        <v>176</v>
      </c>
      <c r="AQ18" s="3" t="s">
        <v>177</v>
      </c>
      <c r="AR18" s="3" t="s">
        <v>178</v>
      </c>
      <c r="AS18" s="3" t="s">
        <v>179</v>
      </c>
      <c r="AT18" s="3" t="s">
        <v>81</v>
      </c>
      <c r="AU18" s="3" t="s">
        <v>379</v>
      </c>
      <c r="AV18" s="3" t="s">
        <v>380</v>
      </c>
      <c r="AW18" s="3" t="s">
        <v>381</v>
      </c>
      <c r="AX18" s="3" t="s">
        <v>103</v>
      </c>
      <c r="AY18" s="3" t="s">
        <v>382</v>
      </c>
      <c r="AZ18" s="3" t="s">
        <v>21</v>
      </c>
      <c r="BA18" s="3" t="s">
        <v>22</v>
      </c>
      <c r="BB18" s="3" t="s">
        <v>23</v>
      </c>
      <c r="BC18" s="3" t="s">
        <v>24</v>
      </c>
      <c r="BD18" s="3" t="s">
        <v>25</v>
      </c>
      <c r="BE18" s="3" t="s">
        <v>26</v>
      </c>
      <c r="BF18" s="3" t="s">
        <v>27</v>
      </c>
      <c r="BG18" s="3" t="s">
        <v>28</v>
      </c>
      <c r="BH18" s="3" t="s">
        <v>29</v>
      </c>
      <c r="BI18" s="3" t="s">
        <v>109</v>
      </c>
      <c r="BJ18" s="3" t="s">
        <v>339</v>
      </c>
      <c r="BK18" s="3" t="s">
        <v>383</v>
      </c>
      <c r="BL18" s="3" t="s">
        <v>384</v>
      </c>
      <c r="BM18" s="3" t="s">
        <v>385</v>
      </c>
      <c r="BN18" s="3" t="s">
        <v>386</v>
      </c>
      <c r="BO18" s="3" t="s">
        <v>180</v>
      </c>
      <c r="BP18" s="3" t="s">
        <v>181</v>
      </c>
      <c r="BQ18" s="3" t="s">
        <v>182</v>
      </c>
      <c r="BR18" s="3" t="s">
        <v>183</v>
      </c>
      <c r="BS18" s="3" t="s">
        <v>184</v>
      </c>
      <c r="BT18" s="3" t="s">
        <v>91</v>
      </c>
      <c r="BU18" s="3" t="s">
        <v>89</v>
      </c>
      <c r="BV18" s="3" t="s">
        <v>387</v>
      </c>
      <c r="BW18" s="3" t="s">
        <v>388</v>
      </c>
      <c r="BX18" s="3" t="s">
        <v>117</v>
      </c>
      <c r="BY18" s="3" t="s">
        <v>389</v>
      </c>
      <c r="BZ18" s="3" t="s">
        <v>209</v>
      </c>
      <c r="CA18" s="3" t="s">
        <v>390</v>
      </c>
      <c r="CB18" s="3" t="s">
        <v>391</v>
      </c>
      <c r="CC18" s="3" t="s">
        <v>228</v>
      </c>
      <c r="CD18" s="3" t="s">
        <v>229</v>
      </c>
      <c r="CE18" s="3" t="s">
        <v>230</v>
      </c>
      <c r="CF18" s="3" t="s">
        <v>231</v>
      </c>
      <c r="CG18" s="3" t="s">
        <v>232</v>
      </c>
      <c r="CH18" s="3" t="s">
        <v>233</v>
      </c>
      <c r="CI18" s="3" t="s">
        <v>234</v>
      </c>
      <c r="CJ18" s="3" t="s">
        <v>235</v>
      </c>
      <c r="CK18" s="3" t="s">
        <v>392</v>
      </c>
      <c r="CL18" s="3" t="s">
        <v>237</v>
      </c>
      <c r="CM18" s="3" t="s">
        <v>393</v>
      </c>
      <c r="CN18" s="3" t="s">
        <v>240</v>
      </c>
      <c r="CO18" s="3" t="s">
        <v>243</v>
      </c>
      <c r="CP18" s="3" t="s">
        <v>241</v>
      </c>
      <c r="CQ18" s="3" t="s">
        <v>394</v>
      </c>
      <c r="CR18" s="3" t="s">
        <v>244</v>
      </c>
      <c r="CS18" s="3" t="s">
        <v>250</v>
      </c>
      <c r="CT18" s="3" t="s">
        <v>251</v>
      </c>
      <c r="CU18" s="3" t="s">
        <v>252</v>
      </c>
      <c r="CV18" s="3" t="s">
        <v>395</v>
      </c>
      <c r="CW18" s="3" t="s">
        <v>396</v>
      </c>
      <c r="CX18" s="3" t="s">
        <v>397</v>
      </c>
      <c r="CY18" s="3" t="s">
        <v>398</v>
      </c>
      <c r="CZ18" s="3" t="s">
        <v>399</v>
      </c>
      <c r="DA18" s="3" t="s">
        <v>400</v>
      </c>
      <c r="DB18" s="3" t="s">
        <v>401</v>
      </c>
      <c r="DC18" s="3" t="s">
        <v>402</v>
      </c>
      <c r="DD18" s="3" t="s">
        <v>403</v>
      </c>
      <c r="DE18" s="3" t="s">
        <v>404</v>
      </c>
      <c r="DF18" s="3" t="s">
        <v>405</v>
      </c>
      <c r="DG18" s="3" t="s">
        <v>406</v>
      </c>
      <c r="DH18" s="3" t="s">
        <v>407</v>
      </c>
      <c r="DI18" s="3" t="s">
        <v>408</v>
      </c>
      <c r="DJ18" s="3" t="s">
        <v>409</v>
      </c>
      <c r="DK18" s="3" t="s">
        <v>410</v>
      </c>
      <c r="DL18" s="3" t="s">
        <v>411</v>
      </c>
      <c r="DM18" s="3" t="s">
        <v>412</v>
      </c>
      <c r="DN18" s="3" t="s">
        <v>413</v>
      </c>
      <c r="DO18" s="3" t="s">
        <v>414</v>
      </c>
      <c r="DP18" s="3" t="s">
        <v>415</v>
      </c>
      <c r="DQ18" s="3" t="s">
        <v>416</v>
      </c>
      <c r="DR18" s="3" t="s">
        <v>417</v>
      </c>
      <c r="DS18" s="3" t="s">
        <v>418</v>
      </c>
      <c r="DT18" s="3" t="s">
        <v>253</v>
      </c>
      <c r="DU18" s="3" t="s">
        <v>338</v>
      </c>
      <c r="DV18" s="3" t="s">
        <v>310</v>
      </c>
      <c r="DW18" s="3" t="s">
        <v>311</v>
      </c>
      <c r="DX18" s="3" t="s">
        <v>419</v>
      </c>
      <c r="DY18" s="3" t="s">
        <v>420</v>
      </c>
      <c r="DZ18" s="3" t="s">
        <v>421</v>
      </c>
      <c r="EA18" s="3" t="s">
        <v>422</v>
      </c>
      <c r="EB18" s="3" t="s">
        <v>423</v>
      </c>
      <c r="EC18" s="3" t="s">
        <v>314</v>
      </c>
      <c r="ED18" s="3" t="s">
        <v>316</v>
      </c>
      <c r="EE18" s="3" t="s">
        <v>318</v>
      </c>
      <c r="EF18" s="3" t="s">
        <v>319</v>
      </c>
      <c r="EG18" s="3" t="s">
        <v>320</v>
      </c>
      <c r="EH18" s="3" t="s">
        <v>321</v>
      </c>
      <c r="EI18" s="3" t="s">
        <v>322</v>
      </c>
      <c r="EJ18" s="3" t="s">
        <v>323</v>
      </c>
      <c r="EK18" s="3" t="s">
        <v>324</v>
      </c>
      <c r="EL18" s="3" t="s">
        <v>424</v>
      </c>
      <c r="EM18" s="3" t="s">
        <v>425</v>
      </c>
      <c r="EN18" s="3" t="s">
        <v>426</v>
      </c>
      <c r="EO18" s="3" t="s">
        <v>427</v>
      </c>
      <c r="EP18" s="3" t="s">
        <v>332</v>
      </c>
      <c r="EQ18" s="3" t="s">
        <v>428</v>
      </c>
      <c r="ER18" s="3" t="s">
        <v>429</v>
      </c>
      <c r="ES18" s="3" t="s">
        <v>430</v>
      </c>
      <c r="ET18" s="3" t="s">
        <v>431</v>
      </c>
      <c r="EU18" s="3" t="s">
        <v>432</v>
      </c>
      <c r="EV18" s="3" t="s">
        <v>433</v>
      </c>
      <c r="EW18" s="3" t="s">
        <v>434</v>
      </c>
      <c r="EX18" s="3" t="s">
        <v>435</v>
      </c>
      <c r="EY18" s="3" t="s">
        <v>436</v>
      </c>
      <c r="EZ18" s="3" t="s">
        <v>437</v>
      </c>
      <c r="FA18" s="3" t="s">
        <v>438</v>
      </c>
      <c r="FB18" s="3" t="s">
        <v>439</v>
      </c>
      <c r="FC18" s="3" t="s">
        <v>440</v>
      </c>
      <c r="FD18" s="3" t="s">
        <v>441</v>
      </c>
      <c r="FE18" s="3" t="s">
        <v>442</v>
      </c>
      <c r="FF18" s="3" t="s">
        <v>443</v>
      </c>
      <c r="FG18" s="3" t="s">
        <v>342</v>
      </c>
      <c r="FH18" s="3" t="s">
        <v>344</v>
      </c>
      <c r="FI18" s="3" t="s">
        <v>343</v>
      </c>
      <c r="FJ18" s="3" t="s">
        <v>444</v>
      </c>
      <c r="FK18" s="3" t="s">
        <v>365</v>
      </c>
      <c r="FL18" s="3" t="s">
        <v>366</v>
      </c>
      <c r="FM18" s="3" t="s">
        <v>367</v>
      </c>
      <c r="FN18" s="3" t="s">
        <v>368</v>
      </c>
      <c r="FO18" s="3" t="s">
        <v>369</v>
      </c>
      <c r="FP18" s="3" t="s">
        <v>370</v>
      </c>
      <c r="FQ18" s="3" t="s">
        <v>371</v>
      </c>
      <c r="FR18" s="3" t="s">
        <v>372</v>
      </c>
      <c r="FS18" s="3" t="s">
        <v>373</v>
      </c>
      <c r="FT18" s="3" t="s">
        <v>374</v>
      </c>
      <c r="FU18" s="3" t="s">
        <v>445</v>
      </c>
    </row>
    <row r="19" spans="9:177" x14ac:dyDescent="0.25">
      <c r="I19">
        <v>321945</v>
      </c>
      <c r="J19" s="2">
        <v>45831.458912037036</v>
      </c>
      <c r="K19">
        <v>1213</v>
      </c>
      <c r="L19" s="2">
        <v>45831.458912037036</v>
      </c>
      <c r="M19">
        <v>1213</v>
      </c>
      <c r="N19">
        <v>11717699</v>
      </c>
      <c r="O19">
        <v>348122</v>
      </c>
      <c r="P19">
        <v>1</v>
      </c>
      <c r="Q19">
        <v>2025</v>
      </c>
      <c r="S19">
        <v>1232</v>
      </c>
      <c r="T19" t="s">
        <v>12</v>
      </c>
      <c r="U19">
        <f t="shared" ref="U19:U23" si="1">I19</f>
        <v>321945</v>
      </c>
      <c r="W19">
        <v>487</v>
      </c>
      <c r="Y19">
        <v>487</v>
      </c>
      <c r="Z19">
        <v>121300</v>
      </c>
      <c r="AA19">
        <v>121300</v>
      </c>
      <c r="AB19">
        <v>2512100104</v>
      </c>
      <c r="AD19">
        <v>1</v>
      </c>
      <c r="AE19" s="1">
        <v>45831</v>
      </c>
      <c r="AH19" t="s">
        <v>3</v>
      </c>
      <c r="AT19">
        <v>11971834</v>
      </c>
      <c r="AU19">
        <v>222</v>
      </c>
      <c r="AV19">
        <v>20428</v>
      </c>
      <c r="AW19" s="2">
        <v>45831.458912037036</v>
      </c>
      <c r="AZ19" t="s">
        <v>0</v>
      </c>
      <c r="BA19">
        <v>2512100104</v>
      </c>
      <c r="BB19" t="s">
        <v>446</v>
      </c>
      <c r="BC19">
        <v>2522100104</v>
      </c>
      <c r="BD19">
        <v>0</v>
      </c>
      <c r="BE19">
        <v>0</v>
      </c>
      <c r="BF19">
        <v>250239</v>
      </c>
      <c r="BG19">
        <v>0</v>
      </c>
      <c r="BH19">
        <v>17047</v>
      </c>
      <c r="BI19" t="s">
        <v>0</v>
      </c>
      <c r="BK19">
        <v>59073100</v>
      </c>
      <c r="BL19">
        <v>59073100</v>
      </c>
      <c r="BZ19" t="s">
        <v>9</v>
      </c>
      <c r="CC19">
        <v>87</v>
      </c>
      <c r="CD19">
        <v>0</v>
      </c>
      <c r="CE19">
        <v>1</v>
      </c>
      <c r="CF19">
        <v>0</v>
      </c>
      <c r="CG19">
        <v>0</v>
      </c>
      <c r="CI19">
        <v>0</v>
      </c>
      <c r="CN19" t="s">
        <v>10</v>
      </c>
      <c r="CU19">
        <v>85</v>
      </c>
      <c r="DV19">
        <v>87</v>
      </c>
      <c r="EL19">
        <v>1062</v>
      </c>
      <c r="EN19">
        <v>1085</v>
      </c>
      <c r="EP19" t="s">
        <v>447</v>
      </c>
      <c r="ER19">
        <v>59073100</v>
      </c>
      <c r="ES19">
        <v>6498041</v>
      </c>
      <c r="ET19" t="s">
        <v>8</v>
      </c>
    </row>
    <row r="20" spans="9:177" x14ac:dyDescent="0.25">
      <c r="I20">
        <v>321946</v>
      </c>
      <c r="J20" s="2">
        <v>45831.458912037036</v>
      </c>
      <c r="K20">
        <v>1213</v>
      </c>
      <c r="L20" s="2">
        <v>45831.458912037036</v>
      </c>
      <c r="M20">
        <v>1213</v>
      </c>
      <c r="N20">
        <v>11717699</v>
      </c>
      <c r="O20">
        <v>348122</v>
      </c>
      <c r="P20">
        <v>2</v>
      </c>
      <c r="Q20">
        <v>2025</v>
      </c>
      <c r="S20">
        <v>55064</v>
      </c>
      <c r="T20" t="s">
        <v>13</v>
      </c>
      <c r="U20">
        <f t="shared" si="1"/>
        <v>321946</v>
      </c>
      <c r="W20">
        <v>520</v>
      </c>
      <c r="Y20">
        <v>520</v>
      </c>
      <c r="Z20">
        <v>84100</v>
      </c>
      <c r="AA20">
        <v>84100</v>
      </c>
      <c r="AB20">
        <v>2512100104</v>
      </c>
      <c r="AD20">
        <v>2</v>
      </c>
      <c r="AE20" s="1">
        <v>45831</v>
      </c>
      <c r="AH20" t="s">
        <v>3</v>
      </c>
      <c r="AT20">
        <v>11971834</v>
      </c>
      <c r="AU20">
        <v>222</v>
      </c>
      <c r="AV20">
        <v>20428</v>
      </c>
      <c r="AW20" s="2">
        <v>45831.458912037036</v>
      </c>
      <c r="AZ20" t="s">
        <v>0</v>
      </c>
      <c r="BA20">
        <v>2512100104</v>
      </c>
      <c r="BB20" t="s">
        <v>446</v>
      </c>
      <c r="BC20">
        <v>2522100104</v>
      </c>
      <c r="BD20">
        <v>0</v>
      </c>
      <c r="BE20">
        <v>0</v>
      </c>
      <c r="BF20">
        <v>250240</v>
      </c>
      <c r="BG20">
        <v>0</v>
      </c>
      <c r="BH20">
        <v>17047</v>
      </c>
      <c r="BI20" t="s">
        <v>0</v>
      </c>
      <c r="BK20">
        <v>43732000</v>
      </c>
      <c r="BL20">
        <v>43732000</v>
      </c>
      <c r="BZ20" t="s">
        <v>9</v>
      </c>
      <c r="CC20">
        <v>87</v>
      </c>
      <c r="CD20">
        <v>0</v>
      </c>
      <c r="CE20">
        <v>1</v>
      </c>
      <c r="CF20">
        <v>0</v>
      </c>
      <c r="CG20">
        <v>0</v>
      </c>
      <c r="CI20">
        <v>0</v>
      </c>
      <c r="CN20" t="s">
        <v>10</v>
      </c>
      <c r="CU20">
        <v>85</v>
      </c>
      <c r="DV20">
        <v>87</v>
      </c>
      <c r="EL20">
        <v>1062</v>
      </c>
      <c r="EN20">
        <v>1085</v>
      </c>
      <c r="EP20" t="s">
        <v>447</v>
      </c>
      <c r="ER20">
        <v>43732000</v>
      </c>
      <c r="ES20">
        <v>4810520</v>
      </c>
      <c r="ET20" t="s">
        <v>8</v>
      </c>
    </row>
    <row r="21" spans="9:177" x14ac:dyDescent="0.25">
      <c r="I21">
        <v>321947</v>
      </c>
      <c r="J21" s="2">
        <v>45831.458912037036</v>
      </c>
      <c r="K21">
        <v>1213</v>
      </c>
      <c r="L21" s="2">
        <v>45831.458912037036</v>
      </c>
      <c r="M21">
        <v>1213</v>
      </c>
      <c r="N21">
        <v>11717699</v>
      </c>
      <c r="O21">
        <v>348122</v>
      </c>
      <c r="P21">
        <v>3</v>
      </c>
      <c r="Q21">
        <v>2025</v>
      </c>
      <c r="S21">
        <v>30046</v>
      </c>
      <c r="T21" t="s">
        <v>14</v>
      </c>
      <c r="U21">
        <f t="shared" si="1"/>
        <v>321947</v>
      </c>
      <c r="W21">
        <v>1435</v>
      </c>
      <c r="Y21">
        <v>1435</v>
      </c>
      <c r="Z21">
        <v>91500</v>
      </c>
      <c r="AA21">
        <v>91500</v>
      </c>
      <c r="AB21">
        <v>2512100104</v>
      </c>
      <c r="AD21">
        <v>3</v>
      </c>
      <c r="AE21" s="1">
        <v>45831</v>
      </c>
      <c r="AH21" t="s">
        <v>3</v>
      </c>
      <c r="AT21">
        <v>11971834</v>
      </c>
      <c r="AU21">
        <v>222</v>
      </c>
      <c r="AV21">
        <v>20428</v>
      </c>
      <c r="AW21" s="2">
        <v>45831.458912037036</v>
      </c>
      <c r="AZ21" t="s">
        <v>0</v>
      </c>
      <c r="BA21">
        <v>2512100104</v>
      </c>
      <c r="BB21" t="s">
        <v>446</v>
      </c>
      <c r="BC21">
        <v>2522100104</v>
      </c>
      <c r="BD21">
        <v>0</v>
      </c>
      <c r="BE21">
        <v>0</v>
      </c>
      <c r="BF21">
        <v>250243</v>
      </c>
      <c r="BG21">
        <v>0</v>
      </c>
      <c r="BH21">
        <v>17047</v>
      </c>
      <c r="BI21" t="s">
        <v>0</v>
      </c>
      <c r="BK21">
        <v>131302500</v>
      </c>
      <c r="BL21">
        <v>131302500</v>
      </c>
      <c r="BZ21" t="s">
        <v>9</v>
      </c>
      <c r="CC21">
        <v>87</v>
      </c>
      <c r="CD21">
        <v>0</v>
      </c>
      <c r="CE21">
        <v>1</v>
      </c>
      <c r="CF21">
        <v>0</v>
      </c>
      <c r="CG21">
        <v>0</v>
      </c>
      <c r="CI21">
        <v>0</v>
      </c>
      <c r="CN21" t="s">
        <v>10</v>
      </c>
      <c r="CU21">
        <v>85</v>
      </c>
      <c r="DV21">
        <v>87</v>
      </c>
      <c r="EL21">
        <v>1062</v>
      </c>
      <c r="EN21">
        <v>1085</v>
      </c>
      <c r="EP21" t="s">
        <v>447</v>
      </c>
      <c r="ER21">
        <v>131302500</v>
      </c>
      <c r="ES21">
        <v>14443275</v>
      </c>
      <c r="ET21" t="s">
        <v>8</v>
      </c>
    </row>
    <row r="22" spans="9:177" x14ac:dyDescent="0.25">
      <c r="I22">
        <v>321948</v>
      </c>
      <c r="J22" s="2">
        <v>45831.458912037036</v>
      </c>
      <c r="K22">
        <v>1213</v>
      </c>
      <c r="L22" s="2">
        <v>45831.458912037036</v>
      </c>
      <c r="M22">
        <v>1213</v>
      </c>
      <c r="N22">
        <v>11717699</v>
      </c>
      <c r="O22">
        <v>348122</v>
      </c>
      <c r="P22">
        <v>4</v>
      </c>
      <c r="Q22">
        <v>2025</v>
      </c>
      <c r="S22">
        <v>11020</v>
      </c>
      <c r="T22" t="s">
        <v>15</v>
      </c>
      <c r="U22">
        <f t="shared" si="1"/>
        <v>321948</v>
      </c>
      <c r="W22">
        <v>2400</v>
      </c>
      <c r="Y22">
        <v>2400</v>
      </c>
      <c r="Z22">
        <v>91600</v>
      </c>
      <c r="AA22">
        <v>91600</v>
      </c>
      <c r="AB22">
        <v>2512100104</v>
      </c>
      <c r="AD22">
        <v>4</v>
      </c>
      <c r="AE22" s="1">
        <v>45831</v>
      </c>
      <c r="AH22" t="s">
        <v>3</v>
      </c>
      <c r="AT22">
        <v>11971834</v>
      </c>
      <c r="AU22">
        <v>222</v>
      </c>
      <c r="AV22">
        <v>20428</v>
      </c>
      <c r="AW22" s="2">
        <v>45831.458912037036</v>
      </c>
      <c r="AZ22" t="s">
        <v>0</v>
      </c>
      <c r="BA22">
        <v>2512100104</v>
      </c>
      <c r="BB22" t="s">
        <v>446</v>
      </c>
      <c r="BC22">
        <v>2522100104</v>
      </c>
      <c r="BD22">
        <v>0</v>
      </c>
      <c r="BE22">
        <v>0</v>
      </c>
      <c r="BF22">
        <v>250244</v>
      </c>
      <c r="BG22">
        <v>0</v>
      </c>
      <c r="BH22">
        <v>17047</v>
      </c>
      <c r="BI22" t="s">
        <v>0</v>
      </c>
      <c r="BK22">
        <v>219840000</v>
      </c>
      <c r="BL22">
        <v>219840000</v>
      </c>
      <c r="BZ22" t="s">
        <v>9</v>
      </c>
      <c r="CC22">
        <v>87</v>
      </c>
      <c r="CD22">
        <v>0</v>
      </c>
      <c r="CE22">
        <v>1</v>
      </c>
      <c r="CF22">
        <v>0</v>
      </c>
      <c r="CG22">
        <v>0</v>
      </c>
      <c r="CI22">
        <v>0</v>
      </c>
      <c r="CN22" t="s">
        <v>10</v>
      </c>
      <c r="CU22">
        <v>85</v>
      </c>
      <c r="DV22">
        <v>87</v>
      </c>
      <c r="EL22">
        <v>1062</v>
      </c>
      <c r="EN22">
        <v>1085</v>
      </c>
      <c r="EP22" t="s">
        <v>447</v>
      </c>
      <c r="ER22">
        <v>219840000</v>
      </c>
      <c r="ES22">
        <v>24182400</v>
      </c>
      <c r="ET22" t="s">
        <v>8</v>
      </c>
    </row>
    <row r="23" spans="9:177" x14ac:dyDescent="0.25">
      <c r="I23">
        <v>321949</v>
      </c>
      <c r="J23" s="2">
        <v>45831.458912037036</v>
      </c>
      <c r="K23">
        <v>1213</v>
      </c>
      <c r="L23" s="2">
        <v>45831.458912037036</v>
      </c>
      <c r="M23">
        <v>1213</v>
      </c>
      <c r="N23">
        <v>11717699</v>
      </c>
      <c r="O23">
        <v>348122</v>
      </c>
      <c r="P23">
        <v>5</v>
      </c>
      <c r="Q23">
        <v>2025</v>
      </c>
      <c r="S23">
        <v>1273</v>
      </c>
      <c r="T23" t="s">
        <v>4</v>
      </c>
      <c r="U23">
        <f t="shared" si="1"/>
        <v>321949</v>
      </c>
      <c r="W23">
        <v>335</v>
      </c>
      <c r="Y23">
        <v>335</v>
      </c>
      <c r="Z23">
        <v>69300</v>
      </c>
      <c r="AA23">
        <v>69300</v>
      </c>
      <c r="AB23">
        <v>2512100104</v>
      </c>
      <c r="AD23">
        <v>5</v>
      </c>
      <c r="AE23" s="1">
        <v>45831</v>
      </c>
      <c r="AH23" t="s">
        <v>3</v>
      </c>
      <c r="AT23">
        <v>11971834</v>
      </c>
      <c r="AU23">
        <v>222</v>
      </c>
      <c r="AV23">
        <v>20428</v>
      </c>
      <c r="AW23" s="2">
        <v>45831.458912037036</v>
      </c>
      <c r="AZ23" t="s">
        <v>0</v>
      </c>
      <c r="BA23">
        <v>2512100104</v>
      </c>
      <c r="BB23" t="s">
        <v>446</v>
      </c>
      <c r="BC23">
        <v>2522100104</v>
      </c>
      <c r="BD23">
        <v>0</v>
      </c>
      <c r="BE23">
        <v>0</v>
      </c>
      <c r="BF23">
        <v>250266</v>
      </c>
      <c r="BG23">
        <v>0</v>
      </c>
      <c r="BH23">
        <v>17047</v>
      </c>
      <c r="BI23" t="s">
        <v>0</v>
      </c>
      <c r="BK23">
        <v>23215500</v>
      </c>
      <c r="BL23">
        <v>23215500</v>
      </c>
      <c r="BZ23" t="s">
        <v>9</v>
      </c>
      <c r="CC23">
        <v>87</v>
      </c>
      <c r="CD23">
        <v>0</v>
      </c>
      <c r="CE23">
        <v>1</v>
      </c>
      <c r="CF23">
        <v>0</v>
      </c>
      <c r="CG23">
        <v>0</v>
      </c>
      <c r="CI23">
        <v>0</v>
      </c>
      <c r="CN23" t="s">
        <v>10</v>
      </c>
      <c r="CU23">
        <v>85</v>
      </c>
      <c r="DV23">
        <v>87</v>
      </c>
      <c r="EL23">
        <v>1062</v>
      </c>
      <c r="EN23">
        <v>1085</v>
      </c>
      <c r="EP23" t="s">
        <v>447</v>
      </c>
      <c r="ER23">
        <v>23215500</v>
      </c>
      <c r="ES23">
        <v>2553705</v>
      </c>
      <c r="ET23" t="s">
        <v>8</v>
      </c>
    </row>
    <row r="24" spans="9:177" x14ac:dyDescent="0.25">
      <c r="I24">
        <v>321960</v>
      </c>
      <c r="J24" s="2">
        <v>45831.458935185183</v>
      </c>
      <c r="K24">
        <v>1213</v>
      </c>
      <c r="L24" s="2">
        <v>45831.458935185183</v>
      </c>
      <c r="M24">
        <v>1213</v>
      </c>
      <c r="N24">
        <v>1213</v>
      </c>
      <c r="O24">
        <v>348122</v>
      </c>
      <c r="P24">
        <v>1</v>
      </c>
      <c r="Q24">
        <v>2025</v>
      </c>
      <c r="AH24" t="s">
        <v>334</v>
      </c>
      <c r="AT24">
        <v>11971834</v>
      </c>
      <c r="AU24">
        <v>222</v>
      </c>
      <c r="AV24">
        <v>20428</v>
      </c>
      <c r="BK24">
        <v>6498041</v>
      </c>
      <c r="BN24">
        <v>321945</v>
      </c>
      <c r="BU24">
        <v>12</v>
      </c>
      <c r="CJ24">
        <v>10304</v>
      </c>
      <c r="CK24" t="s">
        <v>11</v>
      </c>
      <c r="CU24">
        <v>85</v>
      </c>
      <c r="DT24" t="s">
        <v>447</v>
      </c>
      <c r="DU24">
        <v>54150341</v>
      </c>
      <c r="EQ24">
        <v>10368915</v>
      </c>
    </row>
    <row r="25" spans="9:177" x14ac:dyDescent="0.25">
      <c r="I25">
        <v>321961</v>
      </c>
      <c r="J25" s="2">
        <v>45831.458935185183</v>
      </c>
      <c r="K25">
        <v>1213</v>
      </c>
      <c r="L25" s="2">
        <v>45831.458935185183</v>
      </c>
      <c r="M25">
        <v>1213</v>
      </c>
      <c r="N25">
        <v>1213</v>
      </c>
      <c r="O25">
        <v>348122</v>
      </c>
      <c r="P25">
        <v>1</v>
      </c>
      <c r="Q25">
        <v>2025</v>
      </c>
      <c r="AH25" t="s">
        <v>334</v>
      </c>
      <c r="AT25">
        <v>11971834</v>
      </c>
      <c r="AU25">
        <v>222</v>
      </c>
      <c r="AV25">
        <v>20428</v>
      </c>
      <c r="BK25">
        <v>4810520</v>
      </c>
      <c r="BN25">
        <v>321946</v>
      </c>
      <c r="BU25">
        <v>12</v>
      </c>
      <c r="CJ25">
        <v>10304</v>
      </c>
      <c r="CK25" t="s">
        <v>11</v>
      </c>
      <c r="CU25">
        <v>85</v>
      </c>
      <c r="DT25" t="s">
        <v>447</v>
      </c>
      <c r="DU25">
        <v>40087666</v>
      </c>
      <c r="EQ25">
        <v>10368916</v>
      </c>
    </row>
    <row r="26" spans="9:177" x14ac:dyDescent="0.25">
      <c r="I26">
        <v>321962</v>
      </c>
      <c r="J26" s="2">
        <v>45831.458935185183</v>
      </c>
      <c r="K26">
        <v>1213</v>
      </c>
      <c r="L26" s="2">
        <v>45831.458935185183</v>
      </c>
      <c r="M26">
        <v>1213</v>
      </c>
      <c r="N26">
        <v>1213</v>
      </c>
      <c r="O26">
        <v>348122</v>
      </c>
      <c r="P26">
        <v>1</v>
      </c>
      <c r="Q26">
        <v>2025</v>
      </c>
      <c r="AH26" t="s">
        <v>334</v>
      </c>
      <c r="AT26">
        <v>11971834</v>
      </c>
      <c r="AU26">
        <v>222</v>
      </c>
      <c r="AV26">
        <v>20428</v>
      </c>
      <c r="BK26">
        <v>14443275</v>
      </c>
      <c r="BN26">
        <v>321947</v>
      </c>
      <c r="BU26">
        <v>12</v>
      </c>
      <c r="CJ26">
        <v>10304</v>
      </c>
      <c r="CK26" t="s">
        <v>11</v>
      </c>
      <c r="CU26">
        <v>85</v>
      </c>
      <c r="DT26" t="s">
        <v>447</v>
      </c>
      <c r="DU26">
        <v>120360625</v>
      </c>
      <c r="EQ26">
        <v>10368917</v>
      </c>
    </row>
    <row r="27" spans="9:177" x14ac:dyDescent="0.25">
      <c r="I27">
        <v>321963</v>
      </c>
      <c r="J27" s="2">
        <v>45831.458935185183</v>
      </c>
      <c r="K27">
        <v>1213</v>
      </c>
      <c r="L27" s="2">
        <v>45831.458935185183</v>
      </c>
      <c r="M27">
        <v>1213</v>
      </c>
      <c r="N27">
        <v>1213</v>
      </c>
      <c r="O27">
        <v>348122</v>
      </c>
      <c r="P27">
        <v>1</v>
      </c>
      <c r="Q27">
        <v>2025</v>
      </c>
      <c r="AH27" t="s">
        <v>334</v>
      </c>
      <c r="AT27">
        <v>11971834</v>
      </c>
      <c r="AU27">
        <v>222</v>
      </c>
      <c r="AV27">
        <v>20428</v>
      </c>
      <c r="BK27">
        <v>24182400</v>
      </c>
      <c r="BN27">
        <v>321948</v>
      </c>
      <c r="BU27">
        <v>12</v>
      </c>
      <c r="CJ27">
        <v>10304</v>
      </c>
      <c r="CK27" t="s">
        <v>11</v>
      </c>
      <c r="CU27">
        <v>85</v>
      </c>
      <c r="DT27" t="s">
        <v>447</v>
      </c>
      <c r="DU27">
        <v>201520000</v>
      </c>
      <c r="EQ27">
        <v>10368918</v>
      </c>
    </row>
    <row r="28" spans="9:177" x14ac:dyDescent="0.25">
      <c r="I28">
        <v>321964</v>
      </c>
      <c r="J28" s="2">
        <v>45831.458935185183</v>
      </c>
      <c r="K28">
        <v>1213</v>
      </c>
      <c r="L28" s="2">
        <v>45831.458935185183</v>
      </c>
      <c r="M28">
        <v>1213</v>
      </c>
      <c r="N28">
        <v>1213</v>
      </c>
      <c r="O28">
        <v>348122</v>
      </c>
      <c r="P28">
        <v>1</v>
      </c>
      <c r="Q28">
        <v>2025</v>
      </c>
      <c r="AH28" t="s">
        <v>334</v>
      </c>
      <c r="AT28">
        <v>11971834</v>
      </c>
      <c r="AU28">
        <v>222</v>
      </c>
      <c r="AV28">
        <v>20428</v>
      </c>
      <c r="BK28">
        <v>2553705</v>
      </c>
      <c r="BN28">
        <v>321949</v>
      </c>
      <c r="BU28">
        <v>12</v>
      </c>
      <c r="CJ28">
        <v>10304</v>
      </c>
      <c r="CK28" t="s">
        <v>11</v>
      </c>
      <c r="CU28">
        <v>85</v>
      </c>
      <c r="DT28" t="s">
        <v>447</v>
      </c>
      <c r="DU28">
        <v>21280875</v>
      </c>
      <c r="EQ28">
        <v>10368919</v>
      </c>
    </row>
  </sheetData>
  <autoFilter ref="A1:MQ1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HERDIAN</dc:creator>
  <cp:lastModifiedBy>IWAN HERDIAN</cp:lastModifiedBy>
  <dcterms:created xsi:type="dcterms:W3CDTF">2025-06-26T15:38:59Z</dcterms:created>
  <dcterms:modified xsi:type="dcterms:W3CDTF">2025-06-26T16:22:24Z</dcterms:modified>
</cp:coreProperties>
</file>